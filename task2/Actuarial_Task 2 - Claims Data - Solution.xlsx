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hidePivotFieldList="1"/>
  <mc:AlternateContent xmlns:mc="http://schemas.openxmlformats.org/markup-compatibility/2006">
    <mc:Choice Requires="x15">
      <x15ac:absPath xmlns:x15ac="http://schemas.microsoft.com/office/spreadsheetml/2010/11/ac" url="https://mydrive.connect.aig/personal/sbassi_r3aig_com1/Documents/Documents/"/>
    </mc:Choice>
  </mc:AlternateContent>
  <xr:revisionPtr revIDLastSave="0" documentId="8_{3D0883B0-7B01-4B7F-AB6F-44F5F4CB9794}" xr6:coauthVersionLast="47" xr6:coauthVersionMax="47" xr10:uidLastSave="{00000000-0000-0000-0000-000000000000}"/>
  <bookViews>
    <workbookView xWindow="-110" yWindow="-16310" windowWidth="29020" windowHeight="15820" activeTab="3" xr2:uid="{DBE5CE84-00A1-1C47-A184-6FDC23602198}"/>
  </bookViews>
  <sheets>
    <sheet name="Claims Data" sheetId="1" r:id="rId1"/>
    <sheet name="Exploratory Template" sheetId="10" r:id="rId2"/>
    <sheet name="Pure Premium Work" sheetId="2" r:id="rId3"/>
    <sheet name="Report" sheetId="9" r:id="rId4"/>
  </sheets>
  <definedNames>
    <definedName name="_xlnm._FilterDatabase" localSheetId="0" hidden="1">'Claims Data'!$A$1:$S$101</definedName>
    <definedName name="_xlnm._FilterDatabase" localSheetId="2" hidden="1">'Pure Premium Work'!$N$49:$N$55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7" i="2" l="1"/>
  <c r="H66" i="2"/>
  <c r="H65" i="2"/>
  <c r="H64" i="2"/>
  <c r="H58" i="2"/>
  <c r="H52" i="2"/>
  <c r="H51" i="2"/>
  <c r="B47" i="2"/>
  <c r="B39" i="2"/>
  <c r="H42" i="2"/>
  <c r="H41" i="2"/>
  <c r="J36" i="2"/>
  <c r="I36" i="2"/>
  <c r="H36" i="2"/>
  <c r="J35" i="2"/>
  <c r="I35" i="2"/>
  <c r="H35" i="2"/>
  <c r="J34" i="2"/>
  <c r="I34" i="2"/>
  <c r="H34" i="2"/>
  <c r="J33" i="2"/>
  <c r="I33" i="2"/>
  <c r="H33" i="2"/>
  <c r="J32" i="2"/>
  <c r="I32" i="2"/>
  <c r="H32" i="2"/>
  <c r="J31" i="2"/>
  <c r="I31" i="2"/>
  <c r="H31" i="2"/>
  <c r="J24" i="2"/>
  <c r="I24" i="2"/>
  <c r="H24" i="2"/>
  <c r="J23" i="2"/>
  <c r="J22" i="2"/>
  <c r="J21" i="2"/>
  <c r="J20" i="2"/>
  <c r="J19" i="2"/>
  <c r="J18" i="2"/>
  <c r="I23" i="2"/>
  <c r="I22" i="2"/>
  <c r="I21" i="2"/>
  <c r="I20" i="2"/>
  <c r="I19" i="2"/>
  <c r="I18" i="2"/>
  <c r="H23" i="2"/>
  <c r="H22" i="2"/>
  <c r="H21" i="2"/>
  <c r="H20" i="2"/>
  <c r="H19" i="2"/>
  <c r="H18" i="2"/>
  <c r="J11" i="2"/>
  <c r="I11" i="2"/>
  <c r="J10" i="2"/>
  <c r="J9" i="2"/>
  <c r="J8" i="2"/>
  <c r="J7" i="2"/>
  <c r="J6" i="2"/>
  <c r="J5" i="2"/>
  <c r="I10" i="2"/>
  <c r="I9" i="2"/>
  <c r="I8" i="2"/>
  <c r="I7" i="2"/>
  <c r="I6" i="2"/>
  <c r="I5" i="2"/>
  <c r="Q34" i="10"/>
  <c r="P34" i="10"/>
  <c r="O34" i="10"/>
  <c r="N34" i="10"/>
  <c r="M34" i="10"/>
  <c r="L34" i="10"/>
  <c r="Q33" i="10"/>
  <c r="P33" i="10"/>
  <c r="O33" i="10"/>
  <c r="N33" i="10"/>
  <c r="M33" i="10"/>
  <c r="L33" i="10"/>
  <c r="Q32" i="10"/>
  <c r="P32" i="10"/>
  <c r="O32" i="10"/>
  <c r="N32" i="10"/>
  <c r="M32" i="10"/>
  <c r="L32" i="10"/>
  <c r="Q31" i="10"/>
  <c r="P31" i="10"/>
  <c r="O31" i="10"/>
  <c r="N31" i="10"/>
  <c r="M31" i="10"/>
  <c r="L31" i="10"/>
  <c r="Q30" i="10"/>
  <c r="P30" i="10"/>
  <c r="O30" i="10"/>
  <c r="N30" i="10"/>
  <c r="M30" i="10"/>
  <c r="L30" i="10"/>
  <c r="Q29" i="10"/>
  <c r="P29" i="10"/>
  <c r="O29" i="10"/>
  <c r="N29" i="10"/>
  <c r="M29" i="10"/>
  <c r="L29" i="10"/>
  <c r="Q23" i="10"/>
  <c r="P23" i="10"/>
  <c r="O23" i="10"/>
  <c r="N23" i="10"/>
  <c r="M23" i="10"/>
  <c r="L23" i="10"/>
  <c r="Q22" i="10"/>
  <c r="P22" i="10"/>
  <c r="O22" i="10"/>
  <c r="N22" i="10"/>
  <c r="M22" i="10"/>
  <c r="L22" i="10"/>
  <c r="Q21" i="10"/>
  <c r="P21" i="10"/>
  <c r="O21" i="10"/>
  <c r="N21" i="10"/>
  <c r="M21" i="10"/>
  <c r="L21" i="10"/>
  <c r="Q20" i="10"/>
  <c r="P20" i="10"/>
  <c r="O20" i="10"/>
  <c r="N20" i="10"/>
  <c r="M20" i="10"/>
  <c r="L20" i="10"/>
  <c r="Q19" i="10"/>
  <c r="P19" i="10"/>
  <c r="O19" i="10"/>
  <c r="N19" i="10"/>
  <c r="M19" i="10"/>
  <c r="L19" i="10"/>
  <c r="Q18" i="10"/>
  <c r="P18" i="10"/>
  <c r="O18" i="10"/>
  <c r="N18" i="10"/>
  <c r="M18" i="10"/>
  <c r="L18" i="10"/>
  <c r="Q12" i="10"/>
  <c r="P12" i="10"/>
  <c r="O12" i="10"/>
  <c r="N12" i="10"/>
  <c r="M12" i="10"/>
  <c r="L12" i="10"/>
  <c r="Q11" i="10"/>
  <c r="P11" i="10"/>
  <c r="O11" i="10"/>
  <c r="N11" i="10"/>
  <c r="M11" i="10"/>
  <c r="L11" i="10"/>
  <c r="Q10" i="10"/>
  <c r="P10" i="10"/>
  <c r="O10" i="10"/>
  <c r="N10" i="10"/>
  <c r="M10" i="10"/>
  <c r="L10" i="10"/>
  <c r="Q9" i="10"/>
  <c r="P9" i="10"/>
  <c r="O9" i="10"/>
  <c r="N9" i="10"/>
  <c r="M9" i="10"/>
  <c r="L9" i="10"/>
  <c r="Q8" i="10"/>
  <c r="P8" i="10"/>
  <c r="O8" i="10"/>
  <c r="N8" i="10"/>
  <c r="M8" i="10"/>
  <c r="L8" i="10"/>
  <c r="Q7" i="10"/>
  <c r="P7" i="10"/>
  <c r="O7" i="10"/>
  <c r="N7" i="10"/>
  <c r="M7" i="10"/>
  <c r="L7" i="10"/>
  <c r="I94" i="10"/>
  <c r="H94" i="10"/>
  <c r="G94" i="10"/>
  <c r="F94" i="10"/>
  <c r="E94" i="10"/>
  <c r="D94" i="10"/>
  <c r="I93" i="10"/>
  <c r="H93" i="10"/>
  <c r="G93" i="10"/>
  <c r="F93" i="10"/>
  <c r="E93" i="10"/>
  <c r="D93" i="10"/>
  <c r="I92" i="10"/>
  <c r="H92" i="10"/>
  <c r="G92" i="10"/>
  <c r="F92" i="10"/>
  <c r="E92" i="10"/>
  <c r="D92" i="10"/>
  <c r="I91" i="10"/>
  <c r="H91" i="10"/>
  <c r="G91" i="10"/>
  <c r="F91" i="10"/>
  <c r="E91" i="10"/>
  <c r="D91" i="10"/>
  <c r="I90" i="10"/>
  <c r="H90" i="10"/>
  <c r="G90" i="10"/>
  <c r="F90" i="10"/>
  <c r="E90" i="10"/>
  <c r="D90" i="10"/>
  <c r="I83" i="10"/>
  <c r="H83" i="10"/>
  <c r="G83" i="10"/>
  <c r="F83" i="10"/>
  <c r="E83" i="10"/>
  <c r="D83" i="10"/>
  <c r="I82" i="10"/>
  <c r="H82" i="10"/>
  <c r="G82" i="10"/>
  <c r="F82" i="10"/>
  <c r="E82" i="10"/>
  <c r="D82" i="10"/>
  <c r="I81" i="10"/>
  <c r="H81" i="10"/>
  <c r="G81" i="10"/>
  <c r="F81" i="10"/>
  <c r="E81" i="10"/>
  <c r="D81" i="10"/>
  <c r="I80" i="10"/>
  <c r="H80" i="10"/>
  <c r="G80" i="10"/>
  <c r="F80" i="10"/>
  <c r="E80" i="10"/>
  <c r="D80" i="10"/>
  <c r="I79" i="10"/>
  <c r="H79" i="10"/>
  <c r="G79" i="10"/>
  <c r="F79" i="10"/>
  <c r="E79" i="10"/>
  <c r="D79" i="10"/>
  <c r="I72" i="10"/>
  <c r="H72" i="10"/>
  <c r="G72" i="10"/>
  <c r="F72" i="10"/>
  <c r="E72" i="10"/>
  <c r="D72" i="10"/>
  <c r="I71" i="10"/>
  <c r="H71" i="10"/>
  <c r="G71" i="10"/>
  <c r="F71" i="10"/>
  <c r="E71" i="10"/>
  <c r="D71" i="10"/>
  <c r="I70" i="10"/>
  <c r="H70" i="10"/>
  <c r="G70" i="10"/>
  <c r="F70" i="10"/>
  <c r="E70" i="10"/>
  <c r="D70" i="10"/>
  <c r="I69" i="10"/>
  <c r="H69" i="10"/>
  <c r="G69" i="10"/>
  <c r="F69" i="10"/>
  <c r="E69" i="10"/>
  <c r="D69" i="10"/>
  <c r="I68" i="10"/>
  <c r="H68" i="10"/>
  <c r="G68" i="10"/>
  <c r="F68" i="10"/>
  <c r="E68" i="10"/>
  <c r="D68" i="10"/>
  <c r="I60" i="10"/>
  <c r="H60" i="10"/>
  <c r="G60" i="10"/>
  <c r="F60" i="10"/>
  <c r="E60" i="10"/>
  <c r="D60" i="10"/>
  <c r="I59" i="10"/>
  <c r="H59" i="10"/>
  <c r="G59" i="10"/>
  <c r="F59" i="10"/>
  <c r="E59" i="10"/>
  <c r="D59" i="10"/>
  <c r="I58" i="10"/>
  <c r="H58" i="10"/>
  <c r="G58" i="10"/>
  <c r="F58" i="10"/>
  <c r="E58" i="10"/>
  <c r="D58" i="10"/>
  <c r="I57" i="10"/>
  <c r="H57" i="10"/>
  <c r="G57" i="10"/>
  <c r="F57" i="10"/>
  <c r="E57" i="10"/>
  <c r="D57" i="10"/>
  <c r="I56" i="10"/>
  <c r="H56" i="10"/>
  <c r="G56" i="10"/>
  <c r="F56" i="10"/>
  <c r="E56" i="10"/>
  <c r="D56" i="10"/>
  <c r="I55" i="10"/>
  <c r="H55" i="10"/>
  <c r="G55" i="10"/>
  <c r="F55" i="10"/>
  <c r="E55" i="10"/>
  <c r="D55" i="10"/>
  <c r="I49" i="10"/>
  <c r="H49" i="10"/>
  <c r="G49" i="10"/>
  <c r="F49" i="10"/>
  <c r="E49" i="10"/>
  <c r="D49" i="10"/>
  <c r="I48" i="10"/>
  <c r="H48" i="10"/>
  <c r="G48" i="10"/>
  <c r="F48" i="10"/>
  <c r="E48" i="10"/>
  <c r="D48" i="10"/>
  <c r="I47" i="10"/>
  <c r="H47" i="10"/>
  <c r="G47" i="10"/>
  <c r="F47" i="10"/>
  <c r="E47" i="10"/>
  <c r="D47" i="10"/>
  <c r="I46" i="10"/>
  <c r="H46" i="10"/>
  <c r="G46" i="10"/>
  <c r="F46" i="10"/>
  <c r="E46" i="10"/>
  <c r="D46" i="10"/>
  <c r="I45" i="10"/>
  <c r="H45" i="10"/>
  <c r="G45" i="10"/>
  <c r="F45" i="10"/>
  <c r="E45" i="10"/>
  <c r="D45" i="10"/>
  <c r="I44" i="10"/>
  <c r="H44" i="10"/>
  <c r="G44" i="10"/>
  <c r="F44" i="10"/>
  <c r="E44" i="10"/>
  <c r="D44" i="10"/>
  <c r="I38" i="10"/>
  <c r="H38" i="10"/>
  <c r="G38" i="10"/>
  <c r="F38" i="10"/>
  <c r="E38" i="10"/>
  <c r="D38" i="10"/>
  <c r="I37" i="10"/>
  <c r="H37" i="10"/>
  <c r="G37" i="10"/>
  <c r="F37" i="10"/>
  <c r="E37" i="10"/>
  <c r="D37" i="10"/>
  <c r="I36" i="10"/>
  <c r="H36" i="10"/>
  <c r="G36" i="10"/>
  <c r="F36" i="10"/>
  <c r="E36" i="10"/>
  <c r="D36" i="10"/>
  <c r="I35" i="10"/>
  <c r="H35" i="10"/>
  <c r="G35" i="10"/>
  <c r="F35" i="10"/>
  <c r="E35" i="10"/>
  <c r="D35" i="10"/>
  <c r="I34" i="10"/>
  <c r="H34" i="10"/>
  <c r="G34" i="10"/>
  <c r="F34" i="10"/>
  <c r="E34" i="10"/>
  <c r="D34" i="10"/>
  <c r="I33" i="10"/>
  <c r="H33" i="10"/>
  <c r="G33" i="10"/>
  <c r="F33" i="10"/>
  <c r="E33" i="10"/>
  <c r="D33" i="10"/>
  <c r="F26" i="10"/>
  <c r="F25" i="10"/>
  <c r="F24" i="10"/>
  <c r="F23" i="10"/>
  <c r="F22" i="10"/>
  <c r="F21" i="10"/>
  <c r="F20" i="10"/>
  <c r="E26" i="10"/>
  <c r="E25" i="10"/>
  <c r="E24" i="10"/>
  <c r="E23" i="10"/>
  <c r="E22" i="10"/>
  <c r="E21" i="10"/>
  <c r="E20" i="10"/>
  <c r="D25" i="10"/>
  <c r="D24" i="10"/>
  <c r="D23" i="10"/>
  <c r="D22" i="10"/>
  <c r="D21" i="10"/>
  <c r="D20" i="10"/>
  <c r="D26" i="10"/>
  <c r="C16" i="10"/>
  <c r="C13" i="10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  <c r="H6" i="2"/>
  <c r="H7" i="2"/>
  <c r="H8" i="2"/>
  <c r="H9" i="2"/>
  <c r="H10" i="2"/>
  <c r="B16" i="2"/>
  <c r="B17" i="2" s="1"/>
  <c r="B18" i="2" s="1"/>
  <c r="B19" i="2" s="1"/>
  <c r="B20" i="2" s="1"/>
  <c r="C15" i="2"/>
  <c r="H5" i="2" s="1"/>
  <c r="S19" i="1" l="1"/>
  <c r="E10" i="2"/>
  <c r="E9" i="2" s="1"/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2" i="1"/>
  <c r="G6" i="2"/>
  <c r="E8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R2" i="1" l="1"/>
  <c r="G7" i="2"/>
  <c r="E7" i="2"/>
  <c r="E6" i="2" s="1"/>
  <c r="E5" i="2" s="1"/>
  <c r="L2" i="1"/>
  <c r="R4" i="1"/>
  <c r="R5" i="1"/>
  <c r="R7" i="1"/>
  <c r="R10" i="1"/>
  <c r="R12" i="1"/>
  <c r="R13" i="1"/>
  <c r="R14" i="1"/>
  <c r="R15" i="1"/>
  <c r="R16" i="1"/>
  <c r="R17" i="1"/>
  <c r="R22" i="1"/>
  <c r="R24" i="1"/>
  <c r="R25" i="1"/>
  <c r="R26" i="1"/>
  <c r="R27" i="1"/>
  <c r="R28" i="1"/>
  <c r="R29" i="1"/>
  <c r="R34" i="1"/>
  <c r="R36" i="1"/>
  <c r="R37" i="1"/>
  <c r="R38" i="1"/>
  <c r="R39" i="1"/>
  <c r="R40" i="1"/>
  <c r="R41" i="1"/>
  <c r="R46" i="1"/>
  <c r="R48" i="1"/>
  <c r="R49" i="1"/>
  <c r="R50" i="1"/>
  <c r="R51" i="1"/>
  <c r="R52" i="1"/>
  <c r="R53" i="1"/>
  <c r="R58" i="1"/>
  <c r="R60" i="1"/>
  <c r="R61" i="1"/>
  <c r="R62" i="1"/>
  <c r="R63" i="1"/>
  <c r="R65" i="1"/>
  <c r="R70" i="1"/>
  <c r="R72" i="1"/>
  <c r="R73" i="1"/>
  <c r="R74" i="1"/>
  <c r="R75" i="1"/>
  <c r="R76" i="1"/>
  <c r="R77" i="1"/>
  <c r="R82" i="1"/>
  <c r="R84" i="1"/>
  <c r="R85" i="1"/>
  <c r="R86" i="1"/>
  <c r="R87" i="1"/>
  <c r="R89" i="1"/>
  <c r="R94" i="1"/>
  <c r="R96" i="1"/>
  <c r="R98" i="1"/>
  <c r="R99" i="1"/>
  <c r="R10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R3" i="1" l="1"/>
  <c r="G8" i="2"/>
  <c r="R90" i="1"/>
  <c r="R78" i="1"/>
  <c r="R66" i="1"/>
  <c r="R54" i="1"/>
  <c r="R42" i="1"/>
  <c r="R30" i="1"/>
  <c r="R18" i="1"/>
  <c r="R6" i="1"/>
  <c r="R92" i="1"/>
  <c r="R80" i="1"/>
  <c r="R68" i="1"/>
  <c r="R56" i="1"/>
  <c r="R44" i="1"/>
  <c r="R32" i="1"/>
  <c r="R20" i="1"/>
  <c r="R8" i="1"/>
  <c r="R91" i="1"/>
  <c r="R79" i="1"/>
  <c r="R67" i="1"/>
  <c r="R55" i="1"/>
  <c r="R43" i="1"/>
  <c r="R31" i="1"/>
  <c r="R19" i="1"/>
  <c r="R100" i="1"/>
  <c r="R88" i="1"/>
  <c r="R64" i="1"/>
  <c r="R97" i="1"/>
  <c r="R95" i="1"/>
  <c r="R83" i="1"/>
  <c r="R71" i="1"/>
  <c r="R59" i="1"/>
  <c r="R47" i="1"/>
  <c r="R35" i="1"/>
  <c r="R23" i="1"/>
  <c r="R11" i="1"/>
  <c r="R93" i="1"/>
  <c r="R81" i="1"/>
  <c r="R69" i="1"/>
  <c r="R57" i="1"/>
  <c r="R45" i="1"/>
  <c r="R33" i="1"/>
  <c r="R21" i="1"/>
  <c r="R9" i="1"/>
  <c r="G9" i="2" l="1"/>
  <c r="G10" i="2" l="1"/>
</calcChain>
</file>

<file path=xl/sharedStrings.xml><?xml version="1.0" encoding="utf-8"?>
<sst xmlns="http://schemas.openxmlformats.org/spreadsheetml/2006/main" count="770" uniqueCount="243">
  <si>
    <t>Claim ID</t>
  </si>
  <si>
    <t>Date of Claim</t>
  </si>
  <si>
    <t>Type of Claim</t>
  </si>
  <si>
    <t>Claim Incurred ($)</t>
  </si>
  <si>
    <t>Claim Status</t>
  </si>
  <si>
    <t>Gross claim amount (HINT: Gross claim amount = Claim incurred + deductible)</t>
  </si>
  <si>
    <t>Policy Limits ($)</t>
  </si>
  <si>
    <t>Deductible ($)</t>
  </si>
  <si>
    <t>Cause of Loss</t>
  </si>
  <si>
    <t>Location</t>
  </si>
  <si>
    <t>Insured Party</t>
  </si>
  <si>
    <t>Gross Tonnage</t>
  </si>
  <si>
    <t>Prior Claims History</t>
  </si>
  <si>
    <t>Inflation Index</t>
  </si>
  <si>
    <t>Gross inflation adjusted claim (HINT: Gross inflation adjusted claim = gross claim * inflation index)</t>
  </si>
  <si>
    <t>Net inflation adjusted claim  (HINT: Net inflation adjusted claim = Gross inflation adjusted claim - deductible)</t>
  </si>
  <si>
    <t>Capped net adjusted incurred claim (HINT: Capped net adjusted incurred claim = net inflation adjusted claim capped at policy limit)</t>
  </si>
  <si>
    <t>Attritional claim flag - (set equal to 1 if claim is less than 1m, otherwise 0)</t>
  </si>
  <si>
    <t>Year</t>
  </si>
  <si>
    <t>CLM-00001</t>
  </si>
  <si>
    <t>Collision Liability</t>
  </si>
  <si>
    <t>Closed</t>
  </si>
  <si>
    <t>Human Error</t>
  </si>
  <si>
    <t>Indian Ocean</t>
  </si>
  <si>
    <t>Company 9</t>
  </si>
  <si>
    <t>CLM-00002</t>
  </si>
  <si>
    <t>Cargo Liability</t>
  </si>
  <si>
    <t>Technical Failure</t>
  </si>
  <si>
    <t>Atlantic Ocean</t>
  </si>
  <si>
    <t>Company 4</t>
  </si>
  <si>
    <t>CLM-00003</t>
  </si>
  <si>
    <t>Damage to Other Vessels</t>
  </si>
  <si>
    <t>Criminal Activity</t>
  </si>
  <si>
    <t>Mediterranean Sea</t>
  </si>
  <si>
    <t>Company 2</t>
  </si>
  <si>
    <t>CLM-00004</t>
  </si>
  <si>
    <t>Environmental Pollution</t>
  </si>
  <si>
    <t>Open</t>
  </si>
  <si>
    <t>Natural Disaster</t>
  </si>
  <si>
    <t>Pacific Ocean</t>
  </si>
  <si>
    <t>Company 17</t>
  </si>
  <si>
    <t>CLM-00005</t>
  </si>
  <si>
    <t>Injury to Third Parties</t>
  </si>
  <si>
    <t>In Litigation</t>
  </si>
  <si>
    <t>Company 12</t>
  </si>
  <si>
    <t>CLM-00006</t>
  </si>
  <si>
    <t>Company 3</t>
  </si>
  <si>
    <t>CLM-00007</t>
  </si>
  <si>
    <t>North Sea</t>
  </si>
  <si>
    <t>Company 11</t>
  </si>
  <si>
    <t>CLM-00008</t>
  </si>
  <si>
    <t>Company 5</t>
  </si>
  <si>
    <t>CLM-00009</t>
  </si>
  <si>
    <t>Company 8</t>
  </si>
  <si>
    <t>CLM-00010</t>
  </si>
  <si>
    <t>Company 10</t>
  </si>
  <si>
    <t>CLM-00011</t>
  </si>
  <si>
    <t>Company 7</t>
  </si>
  <si>
    <t>CLM-00012</t>
  </si>
  <si>
    <t>Company 6</t>
  </si>
  <si>
    <t>CLM-00013</t>
  </si>
  <si>
    <t>Company 13</t>
  </si>
  <si>
    <t>CLM-00014</t>
  </si>
  <si>
    <t>Company 19</t>
  </si>
  <si>
    <t>CLM-00015</t>
  </si>
  <si>
    <t>Company 14</t>
  </si>
  <si>
    <t>CLM-00016</t>
  </si>
  <si>
    <t>Company 1</t>
  </si>
  <si>
    <t>CLM-00017</t>
  </si>
  <si>
    <t>Company 15</t>
  </si>
  <si>
    <t>CLM-00018</t>
  </si>
  <si>
    <t>CLM-00019</t>
  </si>
  <si>
    <t>CLM-00020</t>
  </si>
  <si>
    <t>CLM-00021</t>
  </si>
  <si>
    <t>CLM-00022</t>
  </si>
  <si>
    <t>Company 16</t>
  </si>
  <si>
    <t>CLM-00023</t>
  </si>
  <si>
    <t>CLM-00024</t>
  </si>
  <si>
    <t>CLM-00025</t>
  </si>
  <si>
    <t>CLM-00026</t>
  </si>
  <si>
    <t>CLM-00027</t>
  </si>
  <si>
    <t>CLM-00028</t>
  </si>
  <si>
    <t>Company 18</t>
  </si>
  <si>
    <t>CLM-00029</t>
  </si>
  <si>
    <t>CLM-00030</t>
  </si>
  <si>
    <t>CLM-00031</t>
  </si>
  <si>
    <t>Company 20</t>
  </si>
  <si>
    <t>CLM-00032</t>
  </si>
  <si>
    <t>CLM-00033</t>
  </si>
  <si>
    <t>CLM-00034</t>
  </si>
  <si>
    <t>CLM-00035</t>
  </si>
  <si>
    <t>CLM-00036</t>
  </si>
  <si>
    <t>CLM-00037</t>
  </si>
  <si>
    <t>CLM-00038</t>
  </si>
  <si>
    <t>CLM-00039</t>
  </si>
  <si>
    <t>CLM-00040</t>
  </si>
  <si>
    <t>CLM-00041</t>
  </si>
  <si>
    <t>CLM-00042</t>
  </si>
  <si>
    <t>CLM-00043</t>
  </si>
  <si>
    <t>CLM-00044</t>
  </si>
  <si>
    <t>CLM-00045</t>
  </si>
  <si>
    <t>CLM-00046</t>
  </si>
  <si>
    <t>CLM-00047</t>
  </si>
  <si>
    <t>CLM-00048</t>
  </si>
  <si>
    <t>CLM-00049</t>
  </si>
  <si>
    <t>CLM-00050</t>
  </si>
  <si>
    <t>CLM-00051</t>
  </si>
  <si>
    <t>CLM-00052</t>
  </si>
  <si>
    <t>CLM-00053</t>
  </si>
  <si>
    <t>CLM-00054</t>
  </si>
  <si>
    <t>CLM-00055</t>
  </si>
  <si>
    <t>CLM-00056</t>
  </si>
  <si>
    <t>CLM-00057</t>
  </si>
  <si>
    <t>CLM-00058</t>
  </si>
  <si>
    <t>CLM-00059</t>
  </si>
  <si>
    <t>CLM-00060</t>
  </si>
  <si>
    <t>CLM-00061</t>
  </si>
  <si>
    <t>CLM-00062</t>
  </si>
  <si>
    <t>CLM-00063</t>
  </si>
  <si>
    <t>CLM-00064</t>
  </si>
  <si>
    <t>CLM-00065</t>
  </si>
  <si>
    <t>CLM-00066</t>
  </si>
  <si>
    <t>CLM-00067</t>
  </si>
  <si>
    <t>CLM-00068</t>
  </si>
  <si>
    <t>CLM-00069</t>
  </si>
  <si>
    <t>CLM-00070</t>
  </si>
  <si>
    <t>CLM-00071</t>
  </si>
  <si>
    <t>CLM-00072</t>
  </si>
  <si>
    <t>CLM-00073</t>
  </si>
  <si>
    <t>CLM-00074</t>
  </si>
  <si>
    <t>CLM-00075</t>
  </si>
  <si>
    <t>CLM-00076</t>
  </si>
  <si>
    <t>CLM-00077</t>
  </si>
  <si>
    <t>CLM-00078</t>
  </si>
  <si>
    <t>CLM-00079</t>
  </si>
  <si>
    <t>CLM-00080</t>
  </si>
  <si>
    <t>CLM-00081</t>
  </si>
  <si>
    <t>CLM-00082</t>
  </si>
  <si>
    <t>CLM-00083</t>
  </si>
  <si>
    <t>CLM-00084</t>
  </si>
  <si>
    <t>CLM-00085</t>
  </si>
  <si>
    <t>CLM-00086</t>
  </si>
  <si>
    <t>CLM-00087</t>
  </si>
  <si>
    <t>CLM-00088</t>
  </si>
  <si>
    <t>CLM-00089</t>
  </si>
  <si>
    <t>CLM-00090</t>
  </si>
  <si>
    <t>CLM-00091</t>
  </si>
  <si>
    <t>CLM-00092</t>
  </si>
  <si>
    <t>CLM-00093</t>
  </si>
  <si>
    <t>CLM-00094</t>
  </si>
  <si>
    <t>CLM-00095</t>
  </si>
  <si>
    <t>CLM-00096</t>
  </si>
  <si>
    <t>CLM-00097</t>
  </si>
  <si>
    <t>CLM-00098</t>
  </si>
  <si>
    <t>CLM-00099</t>
  </si>
  <si>
    <t>CLM-00100</t>
  </si>
  <si>
    <t>Use pivot tables to generate tables and check for trends</t>
  </si>
  <si>
    <t>Loss location Summary</t>
  </si>
  <si>
    <t>Given Assumptions</t>
  </si>
  <si>
    <t>Net claims incurred by loss location</t>
  </si>
  <si>
    <t>Commission is 0%</t>
  </si>
  <si>
    <t>No adjustment is required for claims development patters</t>
  </si>
  <si>
    <t>Individual policies run from 1/1 - 31/12 each year</t>
  </si>
  <si>
    <t>Average Gross Claim Amount</t>
  </si>
  <si>
    <t>Total</t>
  </si>
  <si>
    <t>Average Claim Amount (Adjusted for Inflation)</t>
  </si>
  <si>
    <t>Claim count by loss location</t>
  </si>
  <si>
    <t>Average Claim Amount by Year (Adjusted for Inflation)</t>
  </si>
  <si>
    <t>Average Adjusted Claim</t>
  </si>
  <si>
    <t>Claim Count</t>
  </si>
  <si>
    <t>Total Adjusted Claims</t>
  </si>
  <si>
    <t>Average claim cost by loss location (severity)</t>
  </si>
  <si>
    <t>Claim Type Summary</t>
  </si>
  <si>
    <t>Net claims incurred by claim type</t>
  </si>
  <si>
    <t>Add some useful charts</t>
  </si>
  <si>
    <t>HINT: Net incurred claims by year and claim type</t>
  </si>
  <si>
    <t>HINT: Count of claims by year and claim type</t>
  </si>
  <si>
    <t>Claim count by claim type</t>
  </si>
  <si>
    <t>Average claim cost by claim type (severity)</t>
  </si>
  <si>
    <t>Cause of loss Summary</t>
  </si>
  <si>
    <t>Net claims incurred by cause of loss</t>
  </si>
  <si>
    <t>Claim count by cause of loss</t>
  </si>
  <si>
    <t>Average claim cost by cause of loss (severity)</t>
  </si>
  <si>
    <t>Sum of Adjusted Settlement Amount</t>
  </si>
  <si>
    <t>Claim frequency per gross tonnage</t>
  </si>
  <si>
    <t>Inflation Indices (Assumed for the Purpose of This Exercise):</t>
  </si>
  <si>
    <r>
      <t xml:space="preserve">Calculate the Loss Frequency using a pivot table, make sure to remove the large loss event. 
</t>
    </r>
    <r>
      <rPr>
        <i/>
        <sz val="12"/>
        <color rgb="FF000000"/>
        <rFont val="Aptos Narrow"/>
        <family val="2"/>
        <scheme val="minor"/>
      </rPr>
      <t>Claim frequency = Number of Claims/Gross Tonnage for all exposure.</t>
    </r>
    <r>
      <rPr>
        <sz val="12"/>
        <color rgb="FF000000"/>
        <rFont val="Aptos Narrow"/>
        <family val="2"/>
        <scheme val="minor"/>
      </rPr>
      <t xml:space="preserve">
</t>
    </r>
  </si>
  <si>
    <t>(1 + annual inflation)</t>
  </si>
  <si>
    <t>Inflation index</t>
  </si>
  <si>
    <t>Gross tonnage for all exposure</t>
  </si>
  <si>
    <t>No of claims</t>
  </si>
  <si>
    <t>Claim frequency per unit of gross tonnage</t>
  </si>
  <si>
    <t xml:space="preserve"> 1.08 (8% inflation)</t>
  </si>
  <si>
    <t xml:space="preserve"> 1.05 (5% inflation)</t>
  </si>
  <si>
    <t xml:space="preserve"> 1.04 (4% inflation)</t>
  </si>
  <si>
    <t xml:space="preserve"> 1.03 (3% inflation)</t>
  </si>
  <si>
    <t xml:space="preserve"> 1.02 (2% inflation)</t>
  </si>
  <si>
    <t>1.03 (3% expected over year)</t>
  </si>
  <si>
    <t>Total/Avg</t>
  </si>
  <si>
    <t>Claim severity analysis (average cost per claim)</t>
  </si>
  <si>
    <t>Exposure information for the account provided by client</t>
  </si>
  <si>
    <r>
      <t xml:space="preserve">Calculate the Average cost per claim (Loss Severity) using a pivot table, make sure to remove the large loss event. Instructions: Create a pivot table with Year,  Sum of Capped net inflation adjusted incurred claim and Count of Claim ID. 
</t>
    </r>
    <r>
      <rPr>
        <i/>
        <sz val="12"/>
        <color rgb="FF000000"/>
        <rFont val="Aptos Narrow"/>
        <family val="2"/>
        <scheme val="minor"/>
      </rPr>
      <t>Loss Severity= Sum of Capped net inflation adjusted incurred claim / Count of Claim ID for each year</t>
    </r>
    <r>
      <rPr>
        <sz val="12"/>
        <color rgb="FF000000"/>
        <rFont val="Aptos Narrow"/>
        <family val="2"/>
        <scheme val="minor"/>
      </rPr>
      <t>.</t>
    </r>
  </si>
  <si>
    <t xml:space="preserve">Gross tonnage </t>
  </si>
  <si>
    <t>Sum of Capped Net Adj Claim</t>
  </si>
  <si>
    <t>No. of Claims</t>
  </si>
  <si>
    <t>Avg Cost (Severity)</t>
  </si>
  <si>
    <t>2024 expected gross tonnage provided by client</t>
  </si>
  <si>
    <t>Deductibles in the upcoming policy period will be the same as deductible in prior policy periods.</t>
  </si>
  <si>
    <t>Loss cost calculation</t>
  </si>
  <si>
    <r>
      <t xml:space="preserve">Complete the table below using the values derived in steps 1 and 2. </t>
    </r>
    <r>
      <rPr>
        <i/>
        <sz val="12"/>
        <color rgb="FF000000"/>
        <rFont val="Aptos Narrow"/>
        <family val="2"/>
        <scheme val="minor"/>
      </rPr>
      <t>HINT: Expected loss is the product of claim frequency and average claim severity</t>
    </r>
    <r>
      <rPr>
        <sz val="12"/>
        <color rgb="FF000000"/>
        <rFont val="Aptos Narrow"/>
        <family val="2"/>
        <scheme val="minor"/>
      </rPr>
      <t>.</t>
    </r>
  </si>
  <si>
    <t>Assume a large loss is any loss &gt;$1m incurred</t>
  </si>
  <si>
    <t>Assume the large loss event is a 1-in-20 year event.</t>
  </si>
  <si>
    <t>Loss cost</t>
  </si>
  <si>
    <t>Average cost per claim (Loss Severity)</t>
  </si>
  <si>
    <t>Expected loss per unit of gross tonnage</t>
  </si>
  <si>
    <t>Assume expenses are 30% of the loss cost.</t>
  </si>
  <si>
    <t>Assume a 10% profit requirement on this account in calculating the premium</t>
  </si>
  <si>
    <t>Identify the Large Loss Event adjusted for inflation.</t>
  </si>
  <si>
    <t>Large Loss Event</t>
  </si>
  <si>
    <t>Calculate the following using the values derived in step 3.</t>
  </si>
  <si>
    <r>
      <t xml:space="preserve">Derive an appropriate Return Period. </t>
    </r>
    <r>
      <rPr>
        <i/>
        <sz val="12"/>
        <color rgb="FF000000"/>
        <rFont val="Aptos Narrow"/>
        <family val="2"/>
        <scheme val="minor"/>
      </rPr>
      <t>(Consider the information provided in the "Given Assumptions")</t>
    </r>
    <r>
      <rPr>
        <sz val="12"/>
        <color rgb="FF000000"/>
        <rFont val="Aptos Narrow"/>
        <family val="2"/>
        <scheme val="minor"/>
      </rPr>
      <t>.</t>
    </r>
  </si>
  <si>
    <t>Average frequency per unit exposure</t>
  </si>
  <si>
    <t>Return Period</t>
  </si>
  <si>
    <t>Average severity per claim</t>
  </si>
  <si>
    <t>2024 expected gross tonnage</t>
  </si>
  <si>
    <r>
      <t xml:space="preserve">Calculate the Large Loss Loading </t>
    </r>
    <r>
      <rPr>
        <i/>
        <sz val="12"/>
        <color rgb="FF000000"/>
        <rFont val="Aptos Narrow"/>
        <family val="2"/>
        <scheme val="minor"/>
      </rPr>
      <t>(Divide the large loss claim cost by the return period)</t>
    </r>
    <r>
      <rPr>
        <sz val="12"/>
        <color rgb="FF000000"/>
        <rFont val="Aptos Narrow"/>
        <family val="2"/>
        <scheme val="minor"/>
      </rPr>
      <t>.</t>
    </r>
  </si>
  <si>
    <t>Large Loss Loading</t>
  </si>
  <si>
    <r>
      <t xml:space="preserve">Calculate the  Total Risk Premium. 
</t>
    </r>
    <r>
      <rPr>
        <i/>
        <sz val="12"/>
        <color theme="1"/>
        <rFont val="Aptos Narrow"/>
        <family val="2"/>
        <scheme val="minor"/>
      </rPr>
      <t>Pure Premium = Average Frequency per unit of exposure * Average Severity per Claim * Expected Gross Tonnage</t>
    </r>
  </si>
  <si>
    <t>Total Risk Premium: Pure Premium with Large Loss Loading for Environmental Pollution Claims</t>
  </si>
  <si>
    <t>Total Risk Premium=Pure Premium+Large Loss Loading</t>
  </si>
  <si>
    <t>Pure Premium</t>
  </si>
  <si>
    <t>Total Risk Premium</t>
  </si>
  <si>
    <t>Find the Final Premium. Assume a 10% profit margin and 30% expense loading</t>
  </si>
  <si>
    <t>Final Premium</t>
  </si>
  <si>
    <t>Final Premium=Total Risk Premium×(1+Expense Loading)×(1+Profit Margin)</t>
  </si>
  <si>
    <t>Expense Loading (30%)</t>
  </si>
  <si>
    <t>Profit Margin (10%)</t>
  </si>
  <si>
    <r>
      <t xml:space="preserve">Conduct a Sensitivity Analysis for a scenario of a 6% increase in loss severity and calculate the new final premium based on the increased severity. </t>
    </r>
    <r>
      <rPr>
        <i/>
        <sz val="12"/>
        <color rgb="FF000000"/>
        <rFont val="Aptos Narrow"/>
        <family val="2"/>
        <scheme val="minor"/>
      </rPr>
      <t>Increase the loss severity by 6% then follow the same calculation used in steps 9 and 10 to derive the revised final premium.</t>
    </r>
  </si>
  <si>
    <t>Sensitivity Analysis</t>
  </si>
  <si>
    <t>Scenario: 6% increase in average loss severity</t>
  </si>
  <si>
    <t>New Loss Severity</t>
  </si>
  <si>
    <t>New risk premium following 6% increase in claim severity</t>
  </si>
  <si>
    <t>New final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</si>
</sst>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#,##0_);[Red]\(&quot;$&quot;#,##0\)"/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&quot;$&quot;#,##0.00"/>
    <numFmt numFmtId="166" formatCode="_-* #,##0.0_-;\-* #,##0.0_-;_-* &quot;-&quot;??_-;_-@_-"/>
    <numFmt numFmtId="167" formatCode="_-* #,##0_-;\-* #,##0_-;_-* &quot;-&quot;??_-;_-@_-"/>
    <numFmt numFmtId="168" formatCode="_-* #,##0.000000000_-;\-* #,##0.000000000_-;_-* &quot;-&quot;??_-;_-@_-"/>
    <numFmt numFmtId="169" formatCode="[$$-409]#,##0"/>
    <numFmt numFmtId="170" formatCode="0.000000000"/>
    <numFmt numFmtId="171" formatCode="&quot;$&quot;#,##0"/>
    <numFmt numFmtId="172" formatCode="0.00000000"/>
    <numFmt numFmtId="173" formatCode="0.0%"/>
    <numFmt numFmtId="174" formatCode="0.0000000000"/>
    <numFmt numFmtId="176" formatCode="\+0.0%"/>
  </numFmts>
  <fonts count="2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theme="1"/>
      <name val="Aptos Narrow"/>
    </font>
    <font>
      <b/>
      <sz val="12"/>
      <color theme="1"/>
      <name val="Aptos Narrow"/>
    </font>
    <font>
      <b/>
      <sz val="18"/>
      <color rgb="FF1F3864"/>
      <name val="Aptos Narrow"/>
    </font>
    <font>
      <b/>
      <sz val="13"/>
      <color rgb="FF4472C4"/>
      <name val="Aptos Narrow"/>
    </font>
    <font>
      <sz val="11"/>
      <color rgb="FF595959"/>
      <name val="Aptos Narrow"/>
    </font>
    <font>
      <i/>
      <sz val="11"/>
      <color rgb="FF595959"/>
      <name val="Aptos Narrow"/>
    </font>
    <font>
      <b/>
      <sz val="14"/>
      <color rgb="FF1F3864"/>
      <name val="Aptos Narrow"/>
    </font>
    <font>
      <b/>
      <sz val="11"/>
      <color rgb="FFFFFFFF"/>
      <name val="Aptos Narrow"/>
    </font>
    <font>
      <sz val="11"/>
      <color theme="1"/>
      <name val="Aptos Narrow"/>
    </font>
    <font>
      <b/>
      <sz val="11"/>
      <color rgb="FFC00000"/>
      <name val="Aptos Narrow"/>
    </font>
    <font>
      <b/>
      <sz val="11"/>
      <color theme="1"/>
      <name val="Aptos Narrow"/>
    </font>
    <font>
      <i/>
      <sz val="10"/>
      <color rgb="FF595959"/>
      <name val="Aptos Narrow"/>
    </font>
    <font>
      <b/>
      <sz val="12"/>
      <color rgb="FF4472C4"/>
      <name val="Aptos Narrow"/>
    </font>
    <font>
      <b/>
      <sz val="12"/>
      <color rgb="FFFFFFFF"/>
      <name val="Aptos Narrow"/>
    </font>
    <font>
      <sz val="11"/>
      <color rgb="FF4472C4"/>
      <name val="Aptos Narrow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C7A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1F3864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 style="medium">
        <color rgb="FFD9D9D9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6">
    <xf numFmtId="0" fontId="0" fillId="0" borderId="0" xfId="0"/>
    <xf numFmtId="14" fontId="0" fillId="0" borderId="0" xfId="0" applyNumberFormat="1"/>
    <xf numFmtId="0" fontId="2" fillId="0" borderId="0" xfId="0" applyFont="1"/>
    <xf numFmtId="44" fontId="0" fillId="0" borderId="0" xfId="1" applyFont="1"/>
    <xf numFmtId="0" fontId="3" fillId="0" borderId="0" xfId="0" applyFont="1"/>
    <xf numFmtId="0" fontId="0" fillId="0" borderId="0" xfId="0" applyAlignment="1">
      <alignment horizontal="left"/>
    </xf>
    <xf numFmtId="165" fontId="0" fillId="0" borderId="0" xfId="0" applyNumberFormat="1"/>
    <xf numFmtId="165" fontId="2" fillId="0" borderId="0" xfId="0" applyNumberFormat="1" applyFont="1"/>
    <xf numFmtId="164" fontId="0" fillId="0" borderId="0" xfId="2" applyFont="1"/>
    <xf numFmtId="167" fontId="0" fillId="0" borderId="0" xfId="2" applyNumberFormat="1" applyFont="1"/>
    <xf numFmtId="164" fontId="0" fillId="0" borderId="0" xfId="0" applyNumberFormat="1"/>
    <xf numFmtId="169" fontId="0" fillId="0" borderId="0" xfId="3" applyNumberFormat="1" applyFont="1" applyFill="1"/>
    <xf numFmtId="170" fontId="0" fillId="0" borderId="0" xfId="0" applyNumberFormat="1"/>
    <xf numFmtId="169" fontId="0" fillId="0" borderId="0" xfId="0" applyNumberFormat="1" applyAlignment="1">
      <alignment horizontal="left"/>
    </xf>
    <xf numFmtId="168" fontId="0" fillId="0" borderId="0" xfId="0" applyNumberFormat="1" applyAlignment="1">
      <alignment horizontal="left"/>
    </xf>
    <xf numFmtId="164" fontId="0" fillId="0" borderId="0" xfId="2" applyFont="1" applyAlignment="1">
      <alignment horizontal="left"/>
    </xf>
    <xf numFmtId="166" fontId="4" fillId="0" borderId="0" xfId="2" applyNumberFormat="1" applyFont="1" applyFill="1"/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0" fillId="3" borderId="0" xfId="0" applyFill="1"/>
    <xf numFmtId="0" fontId="5" fillId="5" borderId="0" xfId="0" applyFont="1" applyFill="1"/>
    <xf numFmtId="44" fontId="0" fillId="6" borderId="0" xfId="1" applyFont="1" applyFill="1"/>
    <xf numFmtId="44" fontId="0" fillId="7" borderId="0" xfId="1" applyFont="1" applyFill="1"/>
    <xf numFmtId="0" fontId="0" fillId="7" borderId="0" xfId="0" applyFill="1"/>
    <xf numFmtId="44" fontId="0" fillId="7" borderId="0" xfId="0" applyNumberFormat="1" applyFill="1"/>
    <xf numFmtId="0" fontId="5" fillId="5" borderId="0" xfId="0" applyFont="1" applyFill="1" applyAlignment="1">
      <alignment horizontal="center"/>
    </xf>
    <xf numFmtId="0" fontId="0" fillId="0" borderId="0" xfId="0"/>
    <xf numFmtId="0" fontId="0" fillId="0" borderId="2" xfId="0" applyBorder="1"/>
    <xf numFmtId="164" fontId="0" fillId="0" borderId="2" xfId="2" applyFont="1" applyBorder="1" applyAlignment="1">
      <alignment horizontal="right"/>
    </xf>
    <xf numFmtId="0" fontId="0" fillId="2" borderId="3" xfId="0" applyFill="1" applyBorder="1"/>
    <xf numFmtId="0" fontId="0" fillId="2" borderId="5" xfId="0" applyFill="1" applyBorder="1"/>
    <xf numFmtId="0" fontId="0" fillId="0" borderId="7" xfId="0" applyBorder="1"/>
    <xf numFmtId="0" fontId="0" fillId="2" borderId="8" xfId="0" applyFill="1" applyBorder="1"/>
    <xf numFmtId="0" fontId="0" fillId="0" borderId="0" xfId="0" applyFill="1"/>
    <xf numFmtId="0" fontId="6" fillId="0" borderId="0" xfId="0" applyFont="1" applyAlignment="1">
      <alignment horizontal="left"/>
    </xf>
    <xf numFmtId="0" fontId="0" fillId="6" borderId="0" xfId="0" applyFill="1"/>
    <xf numFmtId="0" fontId="2" fillId="3" borderId="0" xfId="0" applyFont="1" applyFill="1"/>
    <xf numFmtId="0" fontId="2" fillId="8" borderId="0" xfId="0" applyFont="1" applyFill="1"/>
    <xf numFmtId="0" fontId="0" fillId="0" borderId="0" xfId="0" applyBorder="1"/>
    <xf numFmtId="0" fontId="2" fillId="0" borderId="9" xfId="0" applyFont="1" applyBorder="1"/>
    <xf numFmtId="0" fontId="2" fillId="0" borderId="10" xfId="0" applyFont="1" applyBorder="1"/>
    <xf numFmtId="0" fontId="0" fillId="0" borderId="0" xfId="0" applyFill="1" applyBorder="1"/>
    <xf numFmtId="0" fontId="2" fillId="0" borderId="1" xfId="0" applyFont="1" applyBorder="1" applyAlignment="1">
      <alignment horizontal="left"/>
    </xf>
    <xf numFmtId="0" fontId="2" fillId="0" borderId="3" xfId="0" applyFont="1" applyBorder="1"/>
    <xf numFmtId="0" fontId="2" fillId="0" borderId="4" xfId="0" applyFont="1" applyBorder="1" applyAlignment="1">
      <alignment horizontal="left"/>
    </xf>
    <xf numFmtId="167" fontId="0" fillId="0" borderId="5" xfId="2" applyNumberFormat="1" applyFont="1" applyBorder="1"/>
    <xf numFmtId="0" fontId="2" fillId="0" borderId="6" xfId="0" applyFont="1" applyBorder="1" applyAlignment="1">
      <alignment horizontal="left"/>
    </xf>
    <xf numFmtId="167" fontId="0" fillId="0" borderId="8" xfId="2" applyNumberFormat="1" applyFont="1" applyBorder="1"/>
    <xf numFmtId="167" fontId="0" fillId="0" borderId="0" xfId="2" applyNumberFormat="1" applyFont="1" applyBorder="1"/>
    <xf numFmtId="0" fontId="2" fillId="0" borderId="9" xfId="0" applyFont="1" applyBorder="1" applyAlignment="1">
      <alignment horizontal="left"/>
    </xf>
    <xf numFmtId="164" fontId="0" fillId="0" borderId="10" xfId="2" applyFont="1" applyBorder="1" applyAlignment="1">
      <alignment horizontal="left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167" fontId="0" fillId="0" borderId="7" xfId="2" applyNumberFormat="1" applyFont="1" applyBorder="1"/>
    <xf numFmtId="0" fontId="2" fillId="0" borderId="0" xfId="0" applyFont="1" applyBorder="1"/>
    <xf numFmtId="165" fontId="0" fillId="0" borderId="0" xfId="0" applyNumberFormat="1" applyBorder="1"/>
    <xf numFmtId="0" fontId="2" fillId="0" borderId="2" xfId="0" applyFont="1" applyBorder="1"/>
    <xf numFmtId="0" fontId="5" fillId="0" borderId="0" xfId="0" applyFont="1" applyFill="1"/>
    <xf numFmtId="0" fontId="5" fillId="0" borderId="0" xfId="0" applyFont="1" applyFill="1" applyAlignment="1">
      <alignment horizontal="left"/>
    </xf>
    <xf numFmtId="0" fontId="9" fillId="5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44" fontId="2" fillId="0" borderId="0" xfId="1" applyFont="1" applyAlignment="1">
      <alignment wrapText="1"/>
    </xf>
    <xf numFmtId="44" fontId="2" fillId="6" borderId="0" xfId="1" applyFont="1" applyFill="1" applyAlignment="1">
      <alignment wrapText="1"/>
    </xf>
    <xf numFmtId="44" fontId="2" fillId="7" borderId="0" xfId="1" applyFont="1" applyFill="1" applyAlignment="1">
      <alignment wrapText="1"/>
    </xf>
    <xf numFmtId="0" fontId="2" fillId="7" borderId="0" xfId="0" applyFont="1" applyFill="1" applyAlignment="1">
      <alignment wrapText="1"/>
    </xf>
    <xf numFmtId="0" fontId="2" fillId="0" borderId="0" xfId="0" applyFont="1" applyFill="1" applyAlignment="1">
      <alignment wrapText="1"/>
    </xf>
    <xf numFmtId="0" fontId="2" fillId="0" borderId="0" xfId="0" applyFont="1" applyFill="1"/>
    <xf numFmtId="44" fontId="2" fillId="0" borderId="0" xfId="1" applyFont="1" applyFill="1" applyAlignment="1">
      <alignment wrapText="1"/>
    </xf>
    <xf numFmtId="44" fontId="0" fillId="0" borderId="0" xfId="1" applyFont="1" applyFill="1"/>
    <xf numFmtId="6" fontId="2" fillId="0" borderId="0" xfId="0" applyNumberFormat="1" applyFont="1" applyFill="1"/>
    <xf numFmtId="44" fontId="2" fillId="6" borderId="0" xfId="1" applyFont="1" applyFill="1"/>
    <xf numFmtId="44" fontId="2" fillId="0" borderId="0" xfId="1" applyFont="1" applyFill="1"/>
    <xf numFmtId="0" fontId="2" fillId="0" borderId="1" xfId="0" applyFont="1" applyBorder="1"/>
    <xf numFmtId="0" fontId="2" fillId="0" borderId="4" xfId="0" applyFont="1" applyBorder="1"/>
    <xf numFmtId="0" fontId="2" fillId="0" borderId="6" xfId="0" applyFont="1" applyBorder="1"/>
    <xf numFmtId="0" fontId="2" fillId="0" borderId="3" xfId="0" applyFont="1" applyBorder="1" applyAlignment="1">
      <alignment horizontal="left"/>
    </xf>
    <xf numFmtId="0" fontId="0" fillId="0" borderId="0" xfId="0"/>
    <xf numFmtId="0" fontId="0" fillId="3" borderId="0" xfId="0" applyFill="1" applyAlignment="1">
      <alignment horizontal="center"/>
    </xf>
    <xf numFmtId="0" fontId="9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wrapText="1"/>
    </xf>
    <xf numFmtId="0" fontId="5" fillId="5" borderId="0" xfId="0" applyFont="1" applyFill="1" applyAlignment="1">
      <alignment horizontal="left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left" vertical="top" wrapText="1"/>
    </xf>
    <xf numFmtId="0" fontId="5" fillId="5" borderId="0" xfId="0" applyFont="1" applyFill="1" applyBorder="1" applyAlignment="1">
      <alignment horizontal="left" vertical="top" wrapText="1"/>
    </xf>
    <xf numFmtId="0" fontId="5" fillId="5" borderId="7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left" vertical="top" wrapText="1"/>
    </xf>
    <xf numFmtId="0" fontId="0" fillId="0" borderId="0" xfId="0"/>
    <xf numFmtId="165" fontId="10" fillId="6" borderId="0" xfId="0" applyNumberFormat="1" applyFont="1" applyFill="1"/>
    <xf numFmtId="0" fontId="11" fillId="0" borderId="0" xfId="0" applyFont="1"/>
    <xf numFmtId="44" fontId="11" fillId="0" borderId="0" xfId="1" applyFont="1"/>
    <xf numFmtId="1" fontId="10" fillId="6" borderId="0" xfId="0" applyNumberFormat="1" applyFont="1" applyFill="1"/>
    <xf numFmtId="0" fontId="11" fillId="6" borderId="0" xfId="0" applyFont="1" applyFill="1"/>
    <xf numFmtId="165" fontId="11" fillId="6" borderId="0" xfId="0" applyNumberFormat="1" applyFont="1" applyFill="1"/>
    <xf numFmtId="1" fontId="11" fillId="6" borderId="0" xfId="0" applyNumberFormat="1" applyFont="1" applyFill="1"/>
    <xf numFmtId="165" fontId="11" fillId="6" borderId="0" xfId="1" applyNumberFormat="1" applyFont="1" applyFill="1"/>
    <xf numFmtId="0" fontId="11" fillId="9" borderId="0" xfId="0" applyFont="1" applyFill="1"/>
    <xf numFmtId="1" fontId="11" fillId="9" borderId="0" xfId="0" applyNumberFormat="1" applyFont="1" applyFill="1" applyAlignment="1">
      <alignment horizontal="right"/>
    </xf>
    <xf numFmtId="0" fontId="10" fillId="9" borderId="0" xfId="0" applyFont="1" applyFill="1"/>
    <xf numFmtId="171" fontId="10" fillId="9" borderId="0" xfId="0" applyNumberFormat="1" applyFont="1" applyFill="1" applyAlignment="1">
      <alignment horizontal="right"/>
    </xf>
    <xf numFmtId="171" fontId="11" fillId="9" borderId="0" xfId="0" applyNumberFormat="1" applyFont="1" applyFill="1" applyAlignment="1">
      <alignment horizontal="right"/>
    </xf>
    <xf numFmtId="1" fontId="10" fillId="9" borderId="0" xfId="0" applyNumberFormat="1" applyFont="1" applyFill="1" applyAlignment="1">
      <alignment horizontal="right"/>
    </xf>
    <xf numFmtId="1" fontId="11" fillId="0" borderId="0" xfId="0" applyNumberFormat="1" applyFont="1"/>
    <xf numFmtId="1" fontId="10" fillId="0" borderId="0" xfId="2" applyNumberFormat="1" applyFont="1" applyBorder="1"/>
    <xf numFmtId="1" fontId="10" fillId="0" borderId="7" xfId="2" applyNumberFormat="1" applyFont="1" applyBorder="1"/>
    <xf numFmtId="172" fontId="10" fillId="0" borderId="5" xfId="2" applyNumberFormat="1" applyFont="1" applyBorder="1"/>
    <xf numFmtId="172" fontId="10" fillId="0" borderId="8" xfId="2" applyNumberFormat="1" applyFont="1" applyBorder="1"/>
    <xf numFmtId="0" fontId="10" fillId="0" borderId="0" xfId="0" applyFont="1" applyAlignment="1">
      <alignment horizontal="left"/>
    </xf>
    <xf numFmtId="172" fontId="11" fillId="0" borderId="0" xfId="0" applyNumberFormat="1" applyFont="1"/>
    <xf numFmtId="0" fontId="11" fillId="9" borderId="0" xfId="0" applyFont="1" applyFill="1" applyAlignment="1">
      <alignment horizontal="left"/>
    </xf>
    <xf numFmtId="1" fontId="10" fillId="9" borderId="0" xfId="0" applyNumberFormat="1" applyFont="1" applyFill="1" applyAlignment="1">
      <alignment horizontal="left"/>
    </xf>
    <xf numFmtId="1" fontId="10" fillId="9" borderId="0" xfId="0" applyNumberFormat="1" applyFont="1" applyFill="1"/>
    <xf numFmtId="171" fontId="10" fillId="9" borderId="0" xfId="0" applyNumberFormat="1" applyFont="1" applyFill="1" applyAlignment="1">
      <alignment horizontal="left"/>
    </xf>
    <xf numFmtId="171" fontId="10" fillId="9" borderId="0" xfId="0" applyNumberFormat="1" applyFont="1" applyFill="1"/>
    <xf numFmtId="171" fontId="11" fillId="9" borderId="0" xfId="0" applyNumberFormat="1" applyFont="1" applyFill="1" applyAlignment="1">
      <alignment horizontal="left"/>
    </xf>
    <xf numFmtId="1" fontId="11" fillId="9" borderId="0" xfId="0" applyNumberFormat="1" applyFont="1" applyFill="1" applyAlignment="1">
      <alignment horizontal="left"/>
    </xf>
    <xf numFmtId="171" fontId="10" fillId="9" borderId="0" xfId="0" applyNumberFormat="1" applyFont="1" applyFill="1" applyBorder="1" applyAlignment="1">
      <alignment horizontal="left"/>
    </xf>
    <xf numFmtId="172" fontId="10" fillId="9" borderId="0" xfId="0" applyNumberFormat="1" applyFont="1" applyFill="1" applyBorder="1" applyAlignment="1">
      <alignment horizontal="left"/>
    </xf>
    <xf numFmtId="165" fontId="10" fillId="9" borderId="5" xfId="0" applyNumberFormat="1" applyFont="1" applyFill="1" applyBorder="1"/>
    <xf numFmtId="171" fontId="10" fillId="9" borderId="7" xfId="0" applyNumberFormat="1" applyFont="1" applyFill="1" applyBorder="1" applyAlignment="1">
      <alignment horizontal="left"/>
    </xf>
    <xf numFmtId="172" fontId="10" fillId="9" borderId="7" xfId="0" applyNumberFormat="1" applyFont="1" applyFill="1" applyBorder="1" applyAlignment="1">
      <alignment horizontal="left"/>
    </xf>
    <xf numFmtId="165" fontId="10" fillId="9" borderId="8" xfId="0" applyNumberFormat="1" applyFont="1" applyFill="1" applyBorder="1"/>
    <xf numFmtId="172" fontId="10" fillId="9" borderId="0" xfId="0" applyNumberFormat="1" applyFont="1" applyFill="1" applyAlignment="1">
      <alignment horizontal="right"/>
    </xf>
    <xf numFmtId="165" fontId="10" fillId="9" borderId="0" xfId="0" applyNumberFormat="1" applyFont="1" applyFill="1" applyAlignment="1">
      <alignment horizontal="right"/>
    </xf>
    <xf numFmtId="165" fontId="11" fillId="9" borderId="0" xfId="0" applyNumberFormat="1" applyFont="1" applyFill="1"/>
    <xf numFmtId="165" fontId="10" fillId="9" borderId="0" xfId="0" applyNumberFormat="1" applyFont="1" applyFill="1"/>
    <xf numFmtId="0" fontId="11" fillId="0" borderId="0" xfId="0" applyFont="1" applyAlignment="1">
      <alignment horizontal="left"/>
    </xf>
    <xf numFmtId="165" fontId="11" fillId="9" borderId="0" xfId="0" applyNumberFormat="1" applyFont="1" applyFill="1" applyAlignment="1">
      <alignment horizontal="left"/>
    </xf>
    <xf numFmtId="165" fontId="11" fillId="0" borderId="0" xfId="0" applyNumberFormat="1" applyFont="1"/>
    <xf numFmtId="9" fontId="10" fillId="0" borderId="0" xfId="0" applyNumberFormat="1" applyFont="1"/>
    <xf numFmtId="172" fontId="10" fillId="9" borderId="0" xfId="0" applyNumberFormat="1" applyFont="1" applyFill="1"/>
    <xf numFmtId="0" fontId="17" fillId="11" borderId="0" xfId="0" applyFont="1" applyFill="1" applyAlignment="1">
      <alignment horizontal="center"/>
    </xf>
    <xf numFmtId="0" fontId="18" fillId="9" borderId="0" xfId="0" applyFont="1" applyFill="1" applyAlignment="1">
      <alignment horizontal="center"/>
    </xf>
    <xf numFmtId="3" fontId="18" fillId="9" borderId="0" xfId="0" applyNumberFormat="1" applyFont="1" applyFill="1" applyAlignment="1">
      <alignment horizontal="center"/>
    </xf>
    <xf numFmtId="0" fontId="18" fillId="0" borderId="0" xfId="0" applyFont="1" applyAlignment="1">
      <alignment horizontal="center"/>
    </xf>
    <xf numFmtId="171" fontId="18" fillId="0" borderId="0" xfId="0" applyNumberFormat="1" applyFont="1" applyAlignment="1">
      <alignment horizontal="center"/>
    </xf>
    <xf numFmtId="171" fontId="18" fillId="9" borderId="0" xfId="0" applyNumberFormat="1" applyFont="1" applyFill="1" applyAlignment="1">
      <alignment horizontal="center"/>
    </xf>
    <xf numFmtId="3" fontId="18" fillId="0" borderId="0" xfId="0" applyNumberFormat="1" applyFont="1" applyAlignment="1">
      <alignment horizontal="center"/>
    </xf>
    <xf numFmtId="174" fontId="18" fillId="0" borderId="0" xfId="0" applyNumberFormat="1" applyFont="1" applyAlignment="1">
      <alignment horizontal="center"/>
    </xf>
    <xf numFmtId="9" fontId="18" fillId="9" borderId="0" xfId="0" applyNumberFormat="1" applyFont="1" applyFill="1" applyAlignment="1">
      <alignment horizontal="center"/>
    </xf>
    <xf numFmtId="9" fontId="18" fillId="0" borderId="0" xfId="0" applyNumberFormat="1" applyFont="1" applyAlignment="1">
      <alignment horizontal="center"/>
    </xf>
    <xf numFmtId="171" fontId="23" fillId="12" borderId="0" xfId="0" applyNumberFormat="1" applyFont="1" applyFill="1" applyAlignment="1">
      <alignment horizontal="center"/>
    </xf>
    <xf numFmtId="176" fontId="18" fillId="0" borderId="0" xfId="0" applyNumberFormat="1" applyFont="1" applyAlignment="1">
      <alignment horizontal="center"/>
    </xf>
    <xf numFmtId="171" fontId="20" fillId="9" borderId="0" xfId="0" applyNumberFormat="1" applyFont="1" applyFill="1" applyAlignment="1">
      <alignment horizontal="center"/>
    </xf>
    <xf numFmtId="0" fontId="17" fillId="11" borderId="11" xfId="0" applyFont="1" applyFill="1" applyBorder="1" applyAlignment="1">
      <alignment horizontal="center"/>
    </xf>
    <xf numFmtId="3" fontId="18" fillId="9" borderId="12" xfId="0" applyNumberFormat="1" applyFont="1" applyFill="1" applyBorder="1" applyAlignment="1">
      <alignment horizontal="center"/>
    </xf>
    <xf numFmtId="171" fontId="18" fillId="9" borderId="12" xfId="0" applyNumberFormat="1" applyFont="1" applyFill="1" applyBorder="1" applyAlignment="1">
      <alignment horizontal="center"/>
    </xf>
    <xf numFmtId="173" fontId="18" fillId="9" borderId="12" xfId="0" applyNumberFormat="1" applyFont="1" applyFill="1" applyBorder="1" applyAlignment="1">
      <alignment horizontal="center"/>
    </xf>
    <xf numFmtId="3" fontId="18" fillId="0" borderId="12" xfId="0" applyNumberFormat="1" applyFont="1" applyBorder="1" applyAlignment="1">
      <alignment horizontal="center"/>
    </xf>
    <xf numFmtId="171" fontId="18" fillId="0" borderId="12" xfId="0" applyNumberFormat="1" applyFont="1" applyBorder="1" applyAlignment="1">
      <alignment horizontal="center"/>
    </xf>
    <xf numFmtId="173" fontId="18" fillId="0" borderId="12" xfId="0" applyNumberFormat="1" applyFont="1" applyBorder="1" applyAlignment="1">
      <alignment horizontal="center"/>
    </xf>
    <xf numFmtId="3" fontId="19" fillId="0" borderId="12" xfId="0" applyNumberFormat="1" applyFont="1" applyBorder="1" applyAlignment="1">
      <alignment horizontal="center"/>
    </xf>
    <xf numFmtId="171" fontId="19" fillId="0" borderId="12" xfId="0" applyNumberFormat="1" applyFont="1" applyBorder="1" applyAlignment="1">
      <alignment horizontal="center"/>
    </xf>
    <xf numFmtId="173" fontId="19" fillId="0" borderId="12" xfId="0" applyNumberFormat="1" applyFont="1" applyBorder="1" applyAlignment="1">
      <alignment horizontal="center"/>
    </xf>
    <xf numFmtId="3" fontId="18" fillId="9" borderId="13" xfId="0" applyNumberFormat="1" applyFont="1" applyFill="1" applyBorder="1" applyAlignment="1">
      <alignment horizontal="center"/>
    </xf>
    <xf numFmtId="171" fontId="18" fillId="9" borderId="13" xfId="0" applyNumberFormat="1" applyFont="1" applyFill="1" applyBorder="1" applyAlignment="1">
      <alignment horizontal="center"/>
    </xf>
    <xf numFmtId="173" fontId="18" fillId="9" borderId="13" xfId="0" applyNumberFormat="1" applyFont="1" applyFill="1" applyBorder="1" applyAlignment="1">
      <alignment horizontal="center"/>
    </xf>
    <xf numFmtId="3" fontId="20" fillId="0" borderId="14" xfId="0" applyNumberFormat="1" applyFont="1" applyBorder="1" applyAlignment="1">
      <alignment horizontal="center"/>
    </xf>
    <xf numFmtId="171" fontId="20" fillId="0" borderId="14" xfId="0" applyNumberFormat="1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2" fillId="0" borderId="0" xfId="0" applyFont="1" applyAlignment="1"/>
    <xf numFmtId="0" fontId="0" fillId="0" borderId="0" xfId="0" applyAlignment="1"/>
    <xf numFmtId="0" fontId="13" fillId="0" borderId="0" xfId="0" applyFont="1" applyAlignment="1"/>
    <xf numFmtId="0" fontId="15" fillId="0" borderId="0" xfId="0" applyFont="1" applyAlignment="1"/>
    <xf numFmtId="0" fontId="16" fillId="10" borderId="0" xfId="0" applyFont="1" applyFill="1" applyAlignment="1"/>
    <xf numFmtId="0" fontId="0" fillId="10" borderId="0" xfId="0" applyFill="1" applyAlignment="1"/>
    <xf numFmtId="0" fontId="18" fillId="9" borderId="0" xfId="0" applyFont="1" applyFill="1" applyAlignment="1"/>
    <xf numFmtId="0" fontId="18" fillId="0" borderId="0" xfId="0" applyFont="1" applyAlignment="1"/>
    <xf numFmtId="0" fontId="17" fillId="11" borderId="11" xfId="0" applyFont="1" applyFill="1" applyBorder="1" applyAlignment="1"/>
    <xf numFmtId="0" fontId="18" fillId="9" borderId="12" xfId="0" applyFont="1" applyFill="1" applyBorder="1" applyAlignment="1"/>
    <xf numFmtId="0" fontId="18" fillId="0" borderId="12" xfId="0" applyFont="1" applyBorder="1" applyAlignment="1"/>
    <xf numFmtId="0" fontId="19" fillId="0" borderId="12" xfId="0" applyFont="1" applyBorder="1" applyAlignment="1"/>
    <xf numFmtId="0" fontId="18" fillId="9" borderId="13" xfId="0" applyFont="1" applyFill="1" applyBorder="1" applyAlignment="1"/>
    <xf numFmtId="0" fontId="20" fillId="0" borderId="14" xfId="0" applyFont="1" applyBorder="1" applyAlignment="1"/>
    <xf numFmtId="0" fontId="21" fillId="0" borderId="0" xfId="0" applyFont="1" applyAlignment="1"/>
    <xf numFmtId="0" fontId="22" fillId="0" borderId="0" xfId="0" applyFont="1" applyAlignment="1"/>
    <xf numFmtId="0" fontId="17" fillId="11" borderId="0" xfId="0" applyFont="1" applyFill="1" applyAlignment="1"/>
    <xf numFmtId="0" fontId="14" fillId="9" borderId="0" xfId="0" applyFont="1" applyFill="1" applyAlignment="1"/>
    <xf numFmtId="0" fontId="14" fillId="0" borderId="0" xfId="0" applyFont="1" applyAlignment="1"/>
    <xf numFmtId="0" fontId="23" fillId="12" borderId="0" xfId="0" applyFont="1" applyFill="1" applyAlignment="1"/>
    <xf numFmtId="0" fontId="17" fillId="12" borderId="0" xfId="0" applyFont="1" applyFill="1" applyAlignment="1"/>
    <xf numFmtId="0" fontId="20" fillId="9" borderId="0" xfId="0" applyFont="1" applyFill="1" applyAlignment="1"/>
    <xf numFmtId="0" fontId="24" fillId="0" borderId="0" xfId="0" applyFont="1" applyAlignment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Incurred Claims by Year and Claim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'Exploratory Template'!$C$33</c:f>
              <c:strCache>
                <c:ptCount val="1"/>
                <c:pt idx="0">
                  <c:v>Cargo Liability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'Exploratory Template'!$D$32:$I$32</c:f>
              <c:numCache>
                <c:formatCode>0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'Exploratory Template'!$D$33:$I$33</c:f>
              <c:numCache>
                <c:formatCode>"$"#,##0</c:formatCode>
                <c:ptCount val="6"/>
                <c:pt idx="0">
                  <c:v>697368.0207472234</c:v>
                </c:pt>
                <c:pt idx="1">
                  <c:v>662834.33499735559</c:v>
                </c:pt>
                <c:pt idx="2">
                  <c:v>3570921.3315225951</c:v>
                </c:pt>
                <c:pt idx="3">
                  <c:v>1781773.1680748803</c:v>
                </c:pt>
                <c:pt idx="4">
                  <c:v>2937526.7408780004</c:v>
                </c:pt>
                <c:pt idx="5">
                  <c:v>1570662.8665999998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F-0F2C-4BBE-92E4-3B0B60F76B50}"/>
            </c:ext>
          </c:extLst>
        </c:ser>
        <c:ser>
          <c:idx val="1"/>
          <c:order val="1"/>
          <c:tx>
            <c:strRef>
              <c:f>'Exploratory Template'!$C$34</c:f>
              <c:strCache>
                <c:ptCount val="1"/>
                <c:pt idx="0">
                  <c:v>Collision Liability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'Exploratory Template'!$D$32:$I$32</c:f>
              <c:numCache>
                <c:formatCode>0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'Exploratory Template'!$D$34:$I$34</c:f>
              <c:numCache>
                <c:formatCode>"$"#,##0</c:formatCode>
                <c:ptCount val="6"/>
                <c:pt idx="0">
                  <c:v>2405966.0874662898</c:v>
                </c:pt>
                <c:pt idx="1">
                  <c:v>3253999.8527008849</c:v>
                </c:pt>
                <c:pt idx="2">
                  <c:v>0</c:v>
                </c:pt>
                <c:pt idx="3">
                  <c:v>4027741.5256802402</c:v>
                </c:pt>
                <c:pt idx="4">
                  <c:v>997566.67877399991</c:v>
                </c:pt>
                <c:pt idx="5">
                  <c:v>1410599.5731000002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1-0F2C-4BBE-92E4-3B0B60F76B50}"/>
            </c:ext>
          </c:extLst>
        </c:ser>
        <c:ser>
          <c:idx val="2"/>
          <c:order val="2"/>
          <c:tx>
            <c:strRef>
              <c:f>'Exploratory Template'!$C$35</c:f>
              <c:strCache>
                <c:ptCount val="1"/>
                <c:pt idx="0">
                  <c:v>Damage to Other Vessels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'Exploratory Template'!$D$32:$I$32</c:f>
              <c:numCache>
                <c:formatCode>0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'Exploratory Template'!$D$35:$I$35</c:f>
              <c:numCache>
                <c:formatCode>"$"#,##0</c:formatCode>
                <c:ptCount val="6"/>
                <c:pt idx="0">
                  <c:v>1324699.5078214062</c:v>
                </c:pt>
                <c:pt idx="1">
                  <c:v>2407881.4108209559</c:v>
                </c:pt>
                <c:pt idx="2">
                  <c:v>3050494.7499306966</c:v>
                </c:pt>
                <c:pt idx="3">
                  <c:v>2386006.5987511203</c:v>
                </c:pt>
                <c:pt idx="4">
                  <c:v>2654253.808468</c:v>
                </c:pt>
                <c:pt idx="5">
                  <c:v>834871.46829999995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3-0F2C-4BBE-92E4-3B0B60F76B50}"/>
            </c:ext>
          </c:extLst>
        </c:ser>
        <c:ser>
          <c:idx val="3"/>
          <c:order val="3"/>
          <c:tx>
            <c:strRef>
              <c:f>'Exploratory Template'!$C$36</c:f>
              <c:strCache>
                <c:ptCount val="1"/>
                <c:pt idx="0">
                  <c:v>Environmental Pollution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'Exploratory Template'!$D$32:$I$32</c:f>
              <c:numCache>
                <c:formatCode>0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'Exploratory Template'!$D$36:$I$36</c:f>
              <c:numCache>
                <c:formatCode>"$"#,##0</c:formatCode>
                <c:ptCount val="6"/>
                <c:pt idx="0">
                  <c:v>0</c:v>
                </c:pt>
                <c:pt idx="1">
                  <c:v>3215152.3493829388</c:v>
                </c:pt>
                <c:pt idx="2">
                  <c:v>3693140.9137192685</c:v>
                </c:pt>
                <c:pt idx="3">
                  <c:v>3537852.8211535201</c:v>
                </c:pt>
                <c:pt idx="4">
                  <c:v>8416336.8043120001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5-0F2C-4BBE-92E4-3B0B60F76B50}"/>
            </c:ext>
          </c:extLst>
        </c:ser>
        <c:ser>
          <c:idx val="4"/>
          <c:order val="4"/>
          <c:tx>
            <c:strRef>
              <c:f>'Exploratory Template'!$C$37</c:f>
              <c:strCache>
                <c:ptCount val="1"/>
                <c:pt idx="0">
                  <c:v>Injury to Third Parties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'Exploratory Template'!$D$32:$I$32</c:f>
              <c:numCache>
                <c:formatCode>0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'Exploratory Template'!$D$37:$I$37</c:f>
              <c:numCache>
                <c:formatCode>"$"#,##0</c:formatCode>
                <c:ptCount val="6"/>
                <c:pt idx="0">
                  <c:v>2000197.9464693414</c:v>
                </c:pt>
                <c:pt idx="1">
                  <c:v>825320.96309482318</c:v>
                </c:pt>
                <c:pt idx="2">
                  <c:v>1758685.2249286552</c:v>
                </c:pt>
                <c:pt idx="3">
                  <c:v>232953.22239032001</c:v>
                </c:pt>
                <c:pt idx="4">
                  <c:v>0</c:v>
                </c:pt>
                <c:pt idx="5">
                  <c:v>3629743.5011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7-0F2C-4BBE-92E4-3B0B60F76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4007560"/>
        <c:axId val="1994789896"/>
      </c:barChart>
      <c:catAx>
        <c:axId val="199400756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789896"/>
        <c:crosses val="autoZero"/>
        <c:auto val="1"/>
        <c:lblAlgn val="ctr"/>
        <c:lblOffset val="100"/>
        <c:noMultiLvlLbl val="0"/>
      </c:catAx>
      <c:valAx>
        <c:axId val="1994789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007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Claims by Year and Claim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'Exploratory Template'!$C$44</c:f>
              <c:strCache>
                <c:ptCount val="1"/>
                <c:pt idx="0">
                  <c:v>Cargo Liability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'Exploratory Template'!$D$43:$I$43</c:f>
              <c:numCache>
                <c:formatCode>0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'Exploratory Template'!$D$44:$I$44</c:f>
              <c:numCache>
                <c:formatCode>0</c:formatCode>
                <c:ptCount val="6"/>
                <c:pt idx="0">
                  <c:v>1</c:v>
                </c:pt>
                <c:pt idx="1">
                  <c:v>1</c:v>
                </c:pt>
                <c:pt idx="2">
                  <c:v>6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F-3BED-4862-BB58-F0D78903856F}"/>
            </c:ext>
          </c:extLst>
        </c:ser>
        <c:ser>
          <c:idx val="1"/>
          <c:order val="1"/>
          <c:tx>
            <c:strRef>
              <c:f>'Exploratory Template'!$C$45</c:f>
              <c:strCache>
                <c:ptCount val="1"/>
                <c:pt idx="0">
                  <c:v>Collision Liability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'Exploratory Template'!$D$43:$I$43</c:f>
              <c:numCache>
                <c:formatCode>0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'Exploratory Template'!$D$45:$I$45</c:f>
              <c:numCache>
                <c:formatCode>0</c:formatCode>
                <c:ptCount val="6"/>
                <c:pt idx="0">
                  <c:v>4</c:v>
                </c:pt>
                <c:pt idx="1">
                  <c:v>6</c:v>
                </c:pt>
                <c:pt idx="2">
                  <c:v>0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1-3BED-4862-BB58-F0D78903856F}"/>
            </c:ext>
          </c:extLst>
        </c:ser>
        <c:ser>
          <c:idx val="2"/>
          <c:order val="2"/>
          <c:tx>
            <c:strRef>
              <c:f>'Exploratory Template'!$C$46</c:f>
              <c:strCache>
                <c:ptCount val="1"/>
                <c:pt idx="0">
                  <c:v>Damage to Other Vessels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'Exploratory Template'!$D$43:$I$43</c:f>
              <c:numCache>
                <c:formatCode>0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'Exploratory Template'!$D$46:$I$46</c:f>
              <c:numCache>
                <c:formatCode>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3-3BED-4862-BB58-F0D78903856F}"/>
            </c:ext>
          </c:extLst>
        </c:ser>
        <c:ser>
          <c:idx val="3"/>
          <c:order val="3"/>
          <c:tx>
            <c:strRef>
              <c:f>'Exploratory Template'!$C$47</c:f>
              <c:strCache>
                <c:ptCount val="1"/>
                <c:pt idx="0">
                  <c:v>Environmental Pollution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'Exploratory Template'!$D$43:$I$43</c:f>
              <c:numCache>
                <c:formatCode>0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'Exploratory Template'!$D$47:$I$47</c:f>
              <c:numCache>
                <c:formatCode>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5-3BED-4862-BB58-F0D78903856F}"/>
            </c:ext>
          </c:extLst>
        </c:ser>
        <c:ser>
          <c:idx val="4"/>
          <c:order val="4"/>
          <c:tx>
            <c:strRef>
              <c:f>'Exploratory Template'!$C$48</c:f>
              <c:strCache>
                <c:ptCount val="1"/>
                <c:pt idx="0">
                  <c:v>Injury to Third Parties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'Exploratory Template'!$D$43:$I$43</c:f>
              <c:numCache>
                <c:formatCode>0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'Exploratory Template'!$D$48:$I$48</c:f>
              <c:numCache>
                <c:formatCode>0</c:formatCode>
                <c:ptCount val="6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7-3BED-4862-BB58-F0D789038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3195271"/>
        <c:axId val="293612039"/>
      </c:barChart>
      <c:catAx>
        <c:axId val="29319527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612039"/>
        <c:crosses val="autoZero"/>
        <c:auto val="1"/>
        <c:lblAlgn val="ctr"/>
        <c:lblOffset val="100"/>
        <c:noMultiLvlLbl val="0"/>
      </c:catAx>
      <c:valAx>
        <c:axId val="293612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195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99</xdr:row>
      <xdr:rowOff>0</xdr:rowOff>
    </xdr:from>
    <xdr:to>
      <xdr:col>5</xdr:col>
      <xdr:colOff>1685925</xdr:colOff>
      <xdr:row>122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230B87-BC24-2F38-288C-75422389CE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99</xdr:row>
      <xdr:rowOff>0</xdr:rowOff>
    </xdr:from>
    <xdr:to>
      <xdr:col>13</xdr:col>
      <xdr:colOff>19050</xdr:colOff>
      <xdr:row>121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8EE807-21BE-27C0-BB0D-D7884B3C0559}"/>
            </a:ext>
            <a:ext uri="{147F2762-F138-4A5C-976F-8EAC2B608ADB}">
              <a16:predDERef xmlns:a16="http://schemas.microsoft.com/office/drawing/2014/main" pred="{6B230B87-BC24-2F38-288C-75422389CE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B3F2580-6E2C-410A-A652-DDA8BE55F157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4DF57-728B-AA4E-9CFF-ED2615DD969F}">
  <dimension ref="A1:S101"/>
  <sheetViews>
    <sheetView topLeftCell="C1" zoomScale="80" zoomScaleNormal="80" workbookViewId="0">
      <pane ySplit="1" topLeftCell="A2" activePane="bottomLeft" state="frozen"/>
      <selection pane="bottomLeft" sqref="A1:XFD1048576"/>
    </sheetView>
  </sheetViews>
  <sheetFormatPr defaultColWidth="10.625" defaultRowHeight="15.95"/>
  <cols>
    <col min="1" max="1" width="10" bestFit="1" customWidth="1"/>
    <col min="2" max="2" width="14" bestFit="1" customWidth="1"/>
    <col min="3" max="3" width="20.75" bestFit="1" customWidth="1"/>
    <col min="4" max="4" width="18.375" style="3" bestFit="1" customWidth="1"/>
    <col min="5" max="5" width="13.375" bestFit="1" customWidth="1"/>
    <col min="6" max="6" width="22" style="21" bestFit="1" customWidth="1"/>
    <col min="7" max="7" width="16.625" style="69" bestFit="1" customWidth="1"/>
    <col min="8" max="8" width="14.875" style="3" bestFit="1" customWidth="1"/>
    <col min="9" max="9" width="14.25" bestFit="1" customWidth="1"/>
    <col min="10" max="10" width="15.75" bestFit="1" customWidth="1"/>
    <col min="11" max="11" width="13.75" bestFit="1" customWidth="1"/>
    <col min="12" max="12" width="14" bestFit="1" customWidth="1"/>
    <col min="13" max="13" width="19.25" bestFit="1" customWidth="1"/>
    <col min="14" max="14" width="14.625" bestFit="1" customWidth="1"/>
    <col min="15" max="16" width="25" style="22" bestFit="1" customWidth="1"/>
    <col min="17" max="17" width="34.5" style="23" bestFit="1" customWidth="1"/>
    <col min="18" max="18" width="12.625" style="67" bestFit="1" customWidth="1"/>
    <col min="19" max="19" width="6.5" bestFit="1" customWidth="1"/>
  </cols>
  <sheetData>
    <row r="1" spans="1:19" s="61" customFormat="1" ht="24.95" customHeight="1">
      <c r="A1" s="61" t="s">
        <v>0</v>
      </c>
      <c r="B1" s="61" t="s">
        <v>1</v>
      </c>
      <c r="C1" s="61" t="s">
        <v>2</v>
      </c>
      <c r="D1" s="62" t="s">
        <v>3</v>
      </c>
      <c r="E1" s="61" t="s">
        <v>4</v>
      </c>
      <c r="F1" s="63" t="s">
        <v>5</v>
      </c>
      <c r="G1" s="68" t="s">
        <v>6</v>
      </c>
      <c r="H1" s="62" t="s">
        <v>7</v>
      </c>
      <c r="I1" s="61" t="s">
        <v>8</v>
      </c>
      <c r="J1" s="61" t="s">
        <v>9</v>
      </c>
      <c r="K1" s="61" t="s">
        <v>10</v>
      </c>
      <c r="L1" s="61" t="s">
        <v>11</v>
      </c>
      <c r="M1" s="61" t="s">
        <v>12</v>
      </c>
      <c r="N1" s="61" t="s">
        <v>13</v>
      </c>
      <c r="O1" s="64" t="s">
        <v>14</v>
      </c>
      <c r="P1" s="64" t="s">
        <v>15</v>
      </c>
      <c r="Q1" s="65" t="s">
        <v>16</v>
      </c>
      <c r="R1" s="66" t="s">
        <v>17</v>
      </c>
      <c r="S1" s="61" t="s">
        <v>18</v>
      </c>
    </row>
    <row r="2" spans="1:19">
      <c r="A2" s="77" t="s">
        <v>19</v>
      </c>
      <c r="B2" s="1">
        <v>43664</v>
      </c>
      <c r="C2" s="77" t="s">
        <v>20</v>
      </c>
      <c r="D2" s="3">
        <v>737423.28</v>
      </c>
      <c r="E2" s="77" t="s">
        <v>21</v>
      </c>
      <c r="F2" s="21">
        <f>SUM(D2,H2)</f>
        <v>749769.20000000007</v>
      </c>
      <c r="G2" s="70">
        <v>5000000</v>
      </c>
      <c r="H2" s="3">
        <v>12345.92</v>
      </c>
      <c r="I2" s="77" t="s">
        <v>22</v>
      </c>
      <c r="J2" s="77" t="s">
        <v>23</v>
      </c>
      <c r="K2" s="77" t="s">
        <v>24</v>
      </c>
      <c r="L2" s="77">
        <f ca="1">IF(C2="Cargo Liability",RANDBETWEEN(10000,80000),IF(C2="Collision Liability",RANDBETWEEN(20000,100000),IF(C2="Environmental Pollution",RANDBETWEEN(50000,120000),IF(C2="Damage to Other Vessels",RANDBETWEEN(15000,90000),IF(C2="Injury to Third Parties",RANDBETWEEN(5000,60000))))))</f>
        <v>87138</v>
      </c>
      <c r="M2" s="77">
        <v>4</v>
      </c>
      <c r="N2" s="77">
        <f>IF(YEAR(B2)=2023, 1.03,
   IF(YEAR(B2)=2022, 1.0506,
   IF(YEAR(B2)=2021, 1.071612,
   IF(YEAR(B2)=2020, 1.10376036,
   IF(YEAR(B2)=2019, 1.1479107744,
   IF(YEAR(B2)=2018, 1.20530631312, 1))))))</f>
        <v>1.1479107743999999</v>
      </c>
      <c r="O2" s="22">
        <f>PRODUCT(F2,N2)</f>
        <v>860668.14299326844</v>
      </c>
      <c r="P2" s="22">
        <f>(O2-H2)</f>
        <v>848322.2229932684</v>
      </c>
      <c r="Q2" s="24">
        <f>MIN(P2,G2)</f>
        <v>848322.2229932684</v>
      </c>
      <c r="R2" s="67">
        <f>IF(Q2&lt;1000000,1,0)</f>
        <v>1</v>
      </c>
      <c r="S2" s="77">
        <f>YEAR(B2)</f>
        <v>2019</v>
      </c>
    </row>
    <row r="3" spans="1:19">
      <c r="A3" s="77" t="s">
        <v>25</v>
      </c>
      <c r="B3" s="1">
        <v>43978</v>
      </c>
      <c r="C3" s="77" t="s">
        <v>26</v>
      </c>
      <c r="D3" s="3">
        <v>315189.74</v>
      </c>
      <c r="E3" s="77" t="s">
        <v>21</v>
      </c>
      <c r="F3" s="21">
        <f t="shared" ref="F3:F66" si="0">SUM(D3,H3)</f>
        <v>348906.5</v>
      </c>
      <c r="G3" s="70">
        <v>5000000</v>
      </c>
      <c r="H3" s="3">
        <v>33716.76</v>
      </c>
      <c r="I3" s="77" t="s">
        <v>27</v>
      </c>
      <c r="J3" s="77" t="s">
        <v>28</v>
      </c>
      <c r="K3" s="77" t="s">
        <v>29</v>
      </c>
      <c r="L3" s="77">
        <f ca="1">IF(C3="Cargo Liability",RANDBETWEEN(10000,80000),IF(C3="Collision Liability",RANDBETWEEN(20000,100000),IF(C3="Environmental Pollution",RANDBETWEEN(50000,120000),IF(C3="Damage to Other Vessels",RANDBETWEEN(15000,90000),IF(C3="Injury to Third Parties",RANDBETWEEN(5000,60000))))))</f>
        <v>72833</v>
      </c>
      <c r="M3" s="77">
        <v>6</v>
      </c>
      <c r="N3" s="77">
        <f>IF(YEAR(B3)=2023, 1.03,
   IF(YEAR(B3)=2022, 1.0506,
   IF(YEAR(B3)=2021, 1.071612,
   IF(YEAR(B3)=2020, 1.10376036,
   IF(YEAR(B3)=2019, 1.1479107744,
   IF(YEAR(B3)=2018, 1.20530631312, 1))))))</f>
        <v>1.1037603600000001</v>
      </c>
      <c r="O3" s="22">
        <f t="shared" ref="O3:O66" si="1">PRODUCT(F3,N3)</f>
        <v>385109.16404634004</v>
      </c>
      <c r="P3" s="22">
        <f t="shared" ref="P3:P66" si="2">(O3-H3)</f>
        <v>351392.40404634003</v>
      </c>
      <c r="Q3" s="24">
        <f t="shared" ref="Q3:Q66" si="3">MIN(P3,G3)</f>
        <v>351392.40404634003</v>
      </c>
      <c r="R3" s="67">
        <f t="shared" ref="R3:R66" si="4">IF(Q3&lt;1000000,1,0)</f>
        <v>1</v>
      </c>
      <c r="S3" s="77">
        <f>YEAR(B3)</f>
        <v>2020</v>
      </c>
    </row>
    <row r="4" spans="1:19">
      <c r="A4" s="77" t="s">
        <v>30</v>
      </c>
      <c r="B4" s="1">
        <v>43427</v>
      </c>
      <c r="C4" s="77" t="s">
        <v>31</v>
      </c>
      <c r="D4" s="3">
        <v>678364.99</v>
      </c>
      <c r="E4" s="77" t="s">
        <v>21</v>
      </c>
      <c r="F4" s="21">
        <f t="shared" si="0"/>
        <v>712761.9</v>
      </c>
      <c r="G4" s="70">
        <v>5000000</v>
      </c>
      <c r="H4" s="3">
        <v>34396.910000000003</v>
      </c>
      <c r="I4" s="77" t="s">
        <v>32</v>
      </c>
      <c r="J4" s="77" t="s">
        <v>33</v>
      </c>
      <c r="K4" s="77" t="s">
        <v>34</v>
      </c>
      <c r="L4" s="77">
        <f ca="1">IF(C4="Cargo Liability",RANDBETWEEN(10000,80000),IF(C4="Collision Liability",RANDBETWEEN(20000,100000),IF(C4="Environmental Pollution",RANDBETWEEN(50000,120000),IF(C4="Damage to Other Vessels",RANDBETWEEN(15000,90000),IF(C4="Injury to Third Parties",RANDBETWEEN(5000,60000))))))</f>
        <v>49924</v>
      </c>
      <c r="M4" s="77">
        <v>3</v>
      </c>
      <c r="N4" s="77">
        <f>IF(YEAR(B4)=2023, 1.03,
   IF(YEAR(B4)=2022, 1.0506,
   IF(YEAR(B4)=2021, 1.071612,
   IF(YEAR(B4)=2020, 1.10376036,
   IF(YEAR(B4)=2019, 1.1479107744,
   IF(YEAR(B4)=2018, 1.20530631312, 1))))))</f>
        <v>1.2053063131199999</v>
      </c>
      <c r="O4" s="22">
        <f t="shared" si="1"/>
        <v>859096.41782140615</v>
      </c>
      <c r="P4" s="22">
        <f t="shared" si="2"/>
        <v>824699.50782140612</v>
      </c>
      <c r="Q4" s="24">
        <f t="shared" si="3"/>
        <v>824699.50782140612</v>
      </c>
      <c r="R4" s="67">
        <f t="shared" si="4"/>
        <v>1</v>
      </c>
      <c r="S4" s="77">
        <f>YEAR(B4)</f>
        <v>2018</v>
      </c>
    </row>
    <row r="5" spans="1:19">
      <c r="A5" s="77" t="s">
        <v>35</v>
      </c>
      <c r="B5" s="1">
        <v>44201</v>
      </c>
      <c r="C5" s="77" t="s">
        <v>36</v>
      </c>
      <c r="D5" s="3">
        <v>203840.58</v>
      </c>
      <c r="E5" s="77" t="s">
        <v>37</v>
      </c>
      <c r="F5" s="21">
        <f t="shared" si="0"/>
        <v>215544.46</v>
      </c>
      <c r="G5" s="70">
        <v>5000000</v>
      </c>
      <c r="H5" s="3">
        <v>11703.88</v>
      </c>
      <c r="I5" s="77" t="s">
        <v>38</v>
      </c>
      <c r="J5" s="77" t="s">
        <v>39</v>
      </c>
      <c r="K5" s="77" t="s">
        <v>40</v>
      </c>
      <c r="L5" s="77">
        <f ca="1">IF(C5="Cargo Liability",RANDBETWEEN(10000,80000),IF(C5="Collision Liability",RANDBETWEEN(20000,100000),IF(C5="Environmental Pollution",RANDBETWEEN(50000,120000),IF(C5="Damage to Other Vessels",RANDBETWEEN(15000,90000),IF(C5="Injury to Third Parties",RANDBETWEEN(5000,60000))))))</f>
        <v>109716</v>
      </c>
      <c r="M5" s="77">
        <v>7</v>
      </c>
      <c r="N5" s="77">
        <f>IF(YEAR(B5)=2023, 1.03,
   IF(YEAR(B5)=2022, 1.0506,
   IF(YEAR(B5)=2021, 1.071612,
   IF(YEAR(B5)=2020, 1.10376036,
   IF(YEAR(B5)=2019, 1.1479107744,
   IF(YEAR(B5)=2018, 1.20530631312, 1))))))</f>
        <v>1.071612</v>
      </c>
      <c r="O5" s="22">
        <f t="shared" si="1"/>
        <v>230980.02986951999</v>
      </c>
      <c r="P5" s="22">
        <f t="shared" si="2"/>
        <v>219276.14986951998</v>
      </c>
      <c r="Q5" s="24">
        <f t="shared" si="3"/>
        <v>219276.14986951998</v>
      </c>
      <c r="R5" s="67">
        <f t="shared" si="4"/>
        <v>1</v>
      </c>
      <c r="S5" s="77">
        <f>YEAR(B5)</f>
        <v>2021</v>
      </c>
    </row>
    <row r="6" spans="1:19">
      <c r="A6" s="77" t="s">
        <v>41</v>
      </c>
      <c r="B6" s="1">
        <v>45091</v>
      </c>
      <c r="C6" s="77" t="s">
        <v>42</v>
      </c>
      <c r="D6" s="3">
        <v>98692.46</v>
      </c>
      <c r="E6" s="77" t="s">
        <v>43</v>
      </c>
      <c r="F6" s="21">
        <f t="shared" si="0"/>
        <v>146820.18</v>
      </c>
      <c r="G6" s="70">
        <v>1000000</v>
      </c>
      <c r="H6" s="3">
        <v>48127.72</v>
      </c>
      <c r="I6" s="77" t="s">
        <v>22</v>
      </c>
      <c r="J6" s="77" t="s">
        <v>23</v>
      </c>
      <c r="K6" s="77" t="s">
        <v>44</v>
      </c>
      <c r="L6" s="77">
        <f ca="1">IF(C6="Cargo Liability",RANDBETWEEN(10000,80000),IF(C6="Collision Liability",RANDBETWEEN(20000,100000),IF(C6="Environmental Pollution",RANDBETWEEN(50000,120000),IF(C6="Damage to Other Vessels",RANDBETWEEN(15000,90000),IF(C6="Injury to Third Parties",RANDBETWEEN(5000,60000))))))</f>
        <v>29036</v>
      </c>
      <c r="M6" s="77">
        <v>8</v>
      </c>
      <c r="N6" s="77">
        <f>IF(YEAR(B6)=2023, 1.03,
   IF(YEAR(B6)=2022, 1.0506,
   IF(YEAR(B6)=2021, 1.071612,
   IF(YEAR(B6)=2020, 1.10376036,
   IF(YEAR(B6)=2019, 1.1479107744,
   IF(YEAR(B6)=2018, 1.20530631312, 1))))))</f>
        <v>1.03</v>
      </c>
      <c r="O6" s="22">
        <f t="shared" si="1"/>
        <v>151224.78539999999</v>
      </c>
      <c r="P6" s="22">
        <f t="shared" si="2"/>
        <v>103097.06539999999</v>
      </c>
      <c r="Q6" s="24">
        <f t="shared" si="3"/>
        <v>103097.06539999999</v>
      </c>
      <c r="R6" s="67">
        <f t="shared" si="4"/>
        <v>1</v>
      </c>
      <c r="S6" s="77">
        <f>YEAR(B6)</f>
        <v>2023</v>
      </c>
    </row>
    <row r="7" spans="1:19">
      <c r="A7" s="77" t="s">
        <v>45</v>
      </c>
      <c r="B7" s="1">
        <v>43584</v>
      </c>
      <c r="C7" s="77" t="s">
        <v>20</v>
      </c>
      <c r="D7" s="3">
        <v>243918.65</v>
      </c>
      <c r="E7" s="77" t="s">
        <v>21</v>
      </c>
      <c r="F7" s="21">
        <f t="shared" si="0"/>
        <v>254504.19</v>
      </c>
      <c r="G7" s="70">
        <v>5000000</v>
      </c>
      <c r="H7" s="3">
        <v>10585.54</v>
      </c>
      <c r="I7" s="77" t="s">
        <v>27</v>
      </c>
      <c r="J7" s="77" t="s">
        <v>28</v>
      </c>
      <c r="K7" s="77" t="s">
        <v>46</v>
      </c>
      <c r="L7" s="77">
        <f ca="1">IF(C7="Cargo Liability",RANDBETWEEN(10000,80000),IF(C7="Collision Liability",RANDBETWEEN(20000,100000),IF(C7="Environmental Pollution",RANDBETWEEN(50000,120000),IF(C7="Damage to Other Vessels",RANDBETWEEN(15000,90000),IF(C7="Injury to Third Parties",RANDBETWEEN(5000,60000))))))</f>
        <v>68522</v>
      </c>
      <c r="M7" s="77">
        <v>2</v>
      </c>
      <c r="N7" s="77">
        <f>IF(YEAR(B7)=2023, 1.03,
   IF(YEAR(B7)=2022, 1.0506,
   IF(YEAR(B7)=2021, 1.071612,
   IF(YEAR(B7)=2020, 1.10376036,
   IF(YEAR(B7)=2019, 1.1479107744,
   IF(YEAR(B7)=2018, 1.20530631312, 1))))))</f>
        <v>1.1479107743999999</v>
      </c>
      <c r="O7" s="22">
        <f t="shared" si="1"/>
        <v>292148.10183094471</v>
      </c>
      <c r="P7" s="22">
        <f t="shared" si="2"/>
        <v>281562.56183094473</v>
      </c>
      <c r="Q7" s="24">
        <f t="shared" si="3"/>
        <v>281562.56183094473</v>
      </c>
      <c r="R7" s="67">
        <f t="shared" si="4"/>
        <v>1</v>
      </c>
      <c r="S7" s="77">
        <f>YEAR(B7)</f>
        <v>2019</v>
      </c>
    </row>
    <row r="8" spans="1:19">
      <c r="A8" s="77" t="s">
        <v>47</v>
      </c>
      <c r="B8" s="1">
        <v>44398</v>
      </c>
      <c r="C8" s="77" t="s">
        <v>36</v>
      </c>
      <c r="D8" s="3">
        <v>765873.46</v>
      </c>
      <c r="E8" s="77" t="s">
        <v>21</v>
      </c>
      <c r="F8" s="21">
        <f t="shared" si="0"/>
        <v>783218.83</v>
      </c>
      <c r="G8" s="70">
        <v>5000000</v>
      </c>
      <c r="H8" s="3">
        <v>17345.37</v>
      </c>
      <c r="I8" s="77" t="s">
        <v>38</v>
      </c>
      <c r="J8" s="77" t="s">
        <v>48</v>
      </c>
      <c r="K8" s="77" t="s">
        <v>49</v>
      </c>
      <c r="L8" s="77">
        <f ca="1">IF(C8="Cargo Liability",RANDBETWEEN(10000,80000),IF(C8="Collision Liability",RANDBETWEEN(20000,100000),IF(C8="Environmental Pollution",RANDBETWEEN(50000,120000),IF(C8="Damage to Other Vessels",RANDBETWEEN(15000,90000),IF(C8="Injury to Third Parties",RANDBETWEEN(5000,60000))))))</f>
        <v>58012</v>
      </c>
      <c r="M8" s="77">
        <v>1</v>
      </c>
      <c r="N8" s="77">
        <f>IF(YEAR(B8)=2023, 1.03,
   IF(YEAR(B8)=2022, 1.0506,
   IF(YEAR(B8)=2021, 1.071612,
   IF(YEAR(B8)=2020, 1.10376036,
   IF(YEAR(B8)=2019, 1.1479107744,
   IF(YEAR(B8)=2018, 1.20530631312, 1))))))</f>
        <v>1.071612</v>
      </c>
      <c r="O8" s="22">
        <f t="shared" si="1"/>
        <v>839306.69685395993</v>
      </c>
      <c r="P8" s="22">
        <f t="shared" si="2"/>
        <v>821961.32685395994</v>
      </c>
      <c r="Q8" s="24">
        <f t="shared" si="3"/>
        <v>821961.32685395994</v>
      </c>
      <c r="R8" s="67">
        <f t="shared" si="4"/>
        <v>1</v>
      </c>
      <c r="S8" s="77">
        <f>YEAR(B8)</f>
        <v>2021</v>
      </c>
    </row>
    <row r="9" spans="1:19">
      <c r="A9" s="77" t="s">
        <v>50</v>
      </c>
      <c r="B9" s="1">
        <v>44638</v>
      </c>
      <c r="C9" s="77" t="s">
        <v>31</v>
      </c>
      <c r="D9" s="3">
        <v>913843.77</v>
      </c>
      <c r="E9" s="77" t="s">
        <v>21</v>
      </c>
      <c r="F9" s="21">
        <f t="shared" si="0"/>
        <v>939444.11</v>
      </c>
      <c r="G9" s="70">
        <v>5000000</v>
      </c>
      <c r="H9" s="3">
        <v>25600.34</v>
      </c>
      <c r="I9" s="77" t="s">
        <v>32</v>
      </c>
      <c r="J9" s="77" t="s">
        <v>28</v>
      </c>
      <c r="K9" s="77" t="s">
        <v>51</v>
      </c>
      <c r="L9" s="77">
        <f ca="1">IF(C9="Cargo Liability",RANDBETWEEN(10000,80000),IF(C9="Collision Liability",RANDBETWEEN(20000,100000),IF(C9="Environmental Pollution",RANDBETWEEN(50000,120000),IF(C9="Damage to Other Vessels",RANDBETWEEN(15000,90000),IF(C9="Injury to Third Parties",RANDBETWEEN(5000,60000))))))</f>
        <v>43455</v>
      </c>
      <c r="M9" s="77">
        <v>0</v>
      </c>
      <c r="N9" s="77">
        <f>IF(YEAR(B9)=2023, 1.03,
   IF(YEAR(B9)=2022, 1.0506,
   IF(YEAR(B9)=2021, 1.071612,
   IF(YEAR(B9)=2020, 1.10376036,
   IF(YEAR(B9)=2019, 1.1479107744,
   IF(YEAR(B9)=2018, 1.20530631312, 1))))))</f>
        <v>1.0506</v>
      </c>
      <c r="O9" s="22">
        <f t="shared" si="1"/>
        <v>986979.98196599993</v>
      </c>
      <c r="P9" s="22">
        <f t="shared" si="2"/>
        <v>961379.64196599997</v>
      </c>
      <c r="Q9" s="24">
        <f t="shared" si="3"/>
        <v>961379.64196599997</v>
      </c>
      <c r="R9" s="67">
        <f t="shared" si="4"/>
        <v>1</v>
      </c>
      <c r="S9" s="77">
        <f>YEAR(B9)</f>
        <v>2022</v>
      </c>
    </row>
    <row r="10" spans="1:19">
      <c r="A10" s="77" t="s">
        <v>52</v>
      </c>
      <c r="B10" s="1">
        <v>44150</v>
      </c>
      <c r="C10" s="77" t="s">
        <v>26</v>
      </c>
      <c r="D10" s="3">
        <v>754890.21</v>
      </c>
      <c r="E10" s="77" t="s">
        <v>21</v>
      </c>
      <c r="F10" s="21">
        <f t="shared" si="0"/>
        <v>793074.64999999991</v>
      </c>
      <c r="G10" s="70">
        <v>5000000</v>
      </c>
      <c r="H10" s="3">
        <v>38184.44</v>
      </c>
      <c r="I10" s="77" t="s">
        <v>27</v>
      </c>
      <c r="J10" s="77" t="s">
        <v>33</v>
      </c>
      <c r="K10" s="77" t="s">
        <v>53</v>
      </c>
      <c r="L10" s="77">
        <f ca="1">IF(C10="Cargo Liability",RANDBETWEEN(10000,80000),IF(C10="Collision Liability",RANDBETWEEN(20000,100000),IF(C10="Environmental Pollution",RANDBETWEEN(50000,120000),IF(C10="Damage to Other Vessels",RANDBETWEEN(15000,90000),IF(C10="Injury to Third Parties",RANDBETWEEN(5000,60000))))))</f>
        <v>76818</v>
      </c>
      <c r="M10" s="77">
        <v>6</v>
      </c>
      <c r="N10" s="77">
        <f>IF(YEAR(B10)=2023, 1.03,
   IF(YEAR(B10)=2022, 1.0506,
   IF(YEAR(B10)=2021, 1.071612,
   IF(YEAR(B10)=2020, 1.10376036,
   IF(YEAR(B10)=2019, 1.1479107744,
   IF(YEAR(B10)=2018, 1.20530631312, 1))))))</f>
        <v>1.1037603600000001</v>
      </c>
      <c r="O10" s="22">
        <f t="shared" si="1"/>
        <v>875364.36119087401</v>
      </c>
      <c r="P10" s="22">
        <f t="shared" si="2"/>
        <v>837179.92119087395</v>
      </c>
      <c r="Q10" s="24">
        <f t="shared" si="3"/>
        <v>837179.92119087395</v>
      </c>
      <c r="R10" s="67">
        <f t="shared" si="4"/>
        <v>1</v>
      </c>
      <c r="S10" s="77">
        <f>YEAR(B10)</f>
        <v>2020</v>
      </c>
    </row>
    <row r="11" spans="1:19">
      <c r="A11" s="77" t="s">
        <v>54</v>
      </c>
      <c r="B11" s="1">
        <v>43258</v>
      </c>
      <c r="C11" s="77" t="s">
        <v>20</v>
      </c>
      <c r="D11" s="3">
        <v>600293.27</v>
      </c>
      <c r="E11" s="77" t="s">
        <v>37</v>
      </c>
      <c r="F11" s="21">
        <f t="shared" si="0"/>
        <v>601436.52</v>
      </c>
      <c r="G11" s="70">
        <v>5000000</v>
      </c>
      <c r="H11" s="3">
        <v>1143.25</v>
      </c>
      <c r="I11" s="77" t="s">
        <v>22</v>
      </c>
      <c r="J11" s="77" t="s">
        <v>28</v>
      </c>
      <c r="K11" s="77" t="s">
        <v>55</v>
      </c>
      <c r="L11" s="77">
        <f ca="1">IF(C11="Cargo Liability",RANDBETWEEN(10000,80000),IF(C11="Collision Liability",RANDBETWEEN(20000,100000),IF(C11="Environmental Pollution",RANDBETWEEN(50000,120000),IF(C11="Damage to Other Vessels",RANDBETWEEN(15000,90000),IF(C11="Injury to Third Parties",RANDBETWEEN(5000,60000))))))</f>
        <v>87356</v>
      </c>
      <c r="M11" s="77">
        <v>5</v>
      </c>
      <c r="N11" s="77">
        <f>IF(YEAR(B11)=2023, 1.03,
   IF(YEAR(B11)=2022, 1.0506,
   IF(YEAR(B11)=2021, 1.071612,
   IF(YEAR(B11)=2020, 1.10376036,
   IF(YEAR(B11)=2019, 1.1479107744,
   IF(YEAR(B11)=2018, 1.20530631312, 1))))))</f>
        <v>1.2053063131199999</v>
      </c>
      <c r="O11" s="22">
        <f t="shared" si="1"/>
        <v>724915.23449692316</v>
      </c>
      <c r="P11" s="22">
        <f t="shared" si="2"/>
        <v>723771.98449692316</v>
      </c>
      <c r="Q11" s="24">
        <f t="shared" si="3"/>
        <v>723771.98449692316</v>
      </c>
      <c r="R11" s="67">
        <f t="shared" si="4"/>
        <v>1</v>
      </c>
      <c r="S11" s="77">
        <f>YEAR(B11)</f>
        <v>2018</v>
      </c>
    </row>
    <row r="12" spans="1:19">
      <c r="A12" s="77" t="s">
        <v>56</v>
      </c>
      <c r="B12" s="1">
        <v>44251</v>
      </c>
      <c r="C12" s="77" t="s">
        <v>36</v>
      </c>
      <c r="D12" s="3">
        <v>320726.12</v>
      </c>
      <c r="E12" s="77" t="s">
        <v>21</v>
      </c>
      <c r="F12" s="21">
        <f t="shared" si="0"/>
        <v>363045.08999999997</v>
      </c>
      <c r="G12" s="70">
        <v>5000000</v>
      </c>
      <c r="H12" s="3">
        <v>42318.97</v>
      </c>
      <c r="I12" s="77" t="s">
        <v>27</v>
      </c>
      <c r="J12" s="77" t="s">
        <v>48</v>
      </c>
      <c r="K12" s="77" t="s">
        <v>57</v>
      </c>
      <c r="L12" s="77">
        <f ca="1">IF(C12="Cargo Liability",RANDBETWEEN(10000,80000),IF(C12="Collision Liability",RANDBETWEEN(20000,100000),IF(C12="Environmental Pollution",RANDBETWEEN(50000,120000),IF(C12="Damage to Other Vessels",RANDBETWEEN(15000,90000),IF(C12="Injury to Third Parties",RANDBETWEEN(5000,60000))))))</f>
        <v>62131</v>
      </c>
      <c r="M12" s="77">
        <v>7</v>
      </c>
      <c r="N12" s="77">
        <f>IF(YEAR(B12)=2023, 1.03,
   IF(YEAR(B12)=2022, 1.0506,
   IF(YEAR(B12)=2021, 1.071612,
   IF(YEAR(B12)=2020, 1.10376036,
   IF(YEAR(B12)=2019, 1.1479107744,
   IF(YEAR(B12)=2018, 1.20530631312, 1))))))</f>
        <v>1.071612</v>
      </c>
      <c r="O12" s="22">
        <f t="shared" si="1"/>
        <v>389043.47498507996</v>
      </c>
      <c r="P12" s="22">
        <f t="shared" si="2"/>
        <v>346724.50498507998</v>
      </c>
      <c r="Q12" s="24">
        <f t="shared" si="3"/>
        <v>346724.50498507998</v>
      </c>
      <c r="R12" s="67">
        <f t="shared" si="4"/>
        <v>1</v>
      </c>
      <c r="S12" s="77">
        <f>YEAR(B12)</f>
        <v>2021</v>
      </c>
    </row>
    <row r="13" spans="1:19">
      <c r="A13" s="77" t="s">
        <v>58</v>
      </c>
      <c r="B13" s="1">
        <v>44180</v>
      </c>
      <c r="C13" s="77" t="s">
        <v>26</v>
      </c>
      <c r="D13" s="3">
        <v>195238.55</v>
      </c>
      <c r="E13" s="77" t="s">
        <v>21</v>
      </c>
      <c r="F13" s="21">
        <f t="shared" si="0"/>
        <v>220873.24</v>
      </c>
      <c r="G13" s="70">
        <v>1000000</v>
      </c>
      <c r="H13" s="3">
        <v>25634.69</v>
      </c>
      <c r="I13" s="77" t="s">
        <v>32</v>
      </c>
      <c r="J13" s="77" t="s">
        <v>33</v>
      </c>
      <c r="K13" s="77" t="s">
        <v>59</v>
      </c>
      <c r="L13" s="77">
        <f ca="1">IF(C13="Cargo Liability",RANDBETWEEN(10000,80000),IF(C13="Collision Liability",RANDBETWEEN(20000,100000),IF(C13="Environmental Pollution",RANDBETWEEN(50000,120000),IF(C13="Damage to Other Vessels",RANDBETWEEN(15000,90000),IF(C13="Injury to Third Parties",RANDBETWEEN(5000,60000))))))</f>
        <v>11945</v>
      </c>
      <c r="M13" s="77">
        <v>8</v>
      </c>
      <c r="N13" s="77">
        <f>IF(YEAR(B13)=2023, 1.03,
   IF(YEAR(B13)=2022, 1.0506,
   IF(YEAR(B13)=2021, 1.071612,
   IF(YEAR(B13)=2020, 1.10376036,
   IF(YEAR(B13)=2019, 1.1479107744,
   IF(YEAR(B13)=2018, 1.20530631312, 1))))))</f>
        <v>1.1037603600000001</v>
      </c>
      <c r="O13" s="22">
        <f t="shared" si="1"/>
        <v>243791.12689676642</v>
      </c>
      <c r="P13" s="22">
        <f t="shared" si="2"/>
        <v>218156.43689676642</v>
      </c>
      <c r="Q13" s="24">
        <f t="shared" si="3"/>
        <v>218156.43689676642</v>
      </c>
      <c r="R13" s="67">
        <f t="shared" si="4"/>
        <v>1</v>
      </c>
      <c r="S13" s="77">
        <f>YEAR(B13)</f>
        <v>2020</v>
      </c>
    </row>
    <row r="14" spans="1:19">
      <c r="A14" s="77" t="s">
        <v>60</v>
      </c>
      <c r="B14" s="1">
        <v>44794</v>
      </c>
      <c r="C14" s="77" t="s">
        <v>20</v>
      </c>
      <c r="D14" s="3">
        <v>158738.94</v>
      </c>
      <c r="E14" s="77" t="s">
        <v>43</v>
      </c>
      <c r="F14" s="21">
        <f t="shared" si="0"/>
        <v>188195.05</v>
      </c>
      <c r="G14" s="70">
        <v>1000000</v>
      </c>
      <c r="H14" s="3">
        <v>29456.11</v>
      </c>
      <c r="I14" s="77" t="s">
        <v>22</v>
      </c>
      <c r="J14" s="77" t="s">
        <v>23</v>
      </c>
      <c r="K14" s="77" t="s">
        <v>61</v>
      </c>
      <c r="L14" s="77">
        <f ca="1">IF(C14="Cargo Liability",RANDBETWEEN(10000,80000),IF(C14="Collision Liability",RANDBETWEEN(20000,100000),IF(C14="Environmental Pollution",RANDBETWEEN(50000,120000),IF(C14="Damage to Other Vessels",RANDBETWEEN(15000,90000),IF(C14="Injury to Third Parties",RANDBETWEEN(5000,60000))))))</f>
        <v>23606</v>
      </c>
      <c r="M14" s="77">
        <v>3</v>
      </c>
      <c r="N14" s="77">
        <f>IF(YEAR(B14)=2023, 1.03,
   IF(YEAR(B14)=2022, 1.0506,
   IF(YEAR(B14)=2021, 1.071612,
   IF(YEAR(B14)=2020, 1.10376036,
   IF(YEAR(B14)=2019, 1.1479107744,
   IF(YEAR(B14)=2018, 1.20530631312, 1))))))</f>
        <v>1.0506</v>
      </c>
      <c r="O14" s="22">
        <f t="shared" si="1"/>
        <v>197717.71952999997</v>
      </c>
      <c r="P14" s="22">
        <f t="shared" si="2"/>
        <v>168261.60952999996</v>
      </c>
      <c r="Q14" s="24">
        <f t="shared" si="3"/>
        <v>168261.60952999996</v>
      </c>
      <c r="R14" s="67">
        <f t="shared" si="4"/>
        <v>1</v>
      </c>
      <c r="S14" s="77">
        <f>YEAR(B14)</f>
        <v>2022</v>
      </c>
    </row>
    <row r="15" spans="1:19">
      <c r="A15" s="77" t="s">
        <v>62</v>
      </c>
      <c r="B15" s="1">
        <v>44937</v>
      </c>
      <c r="C15" s="77" t="s">
        <v>31</v>
      </c>
      <c r="D15" s="3">
        <v>125309.18</v>
      </c>
      <c r="E15" s="77" t="s">
        <v>21</v>
      </c>
      <c r="F15" s="21">
        <f t="shared" si="0"/>
        <v>140287.41</v>
      </c>
      <c r="G15" s="70">
        <v>1000000</v>
      </c>
      <c r="H15" s="3">
        <v>14978.23</v>
      </c>
      <c r="I15" s="77" t="s">
        <v>32</v>
      </c>
      <c r="J15" s="77" t="s">
        <v>39</v>
      </c>
      <c r="K15" s="77" t="s">
        <v>63</v>
      </c>
      <c r="L15" s="77">
        <f ca="1">IF(C15="Cargo Liability",RANDBETWEEN(10000,80000),IF(C15="Collision Liability",RANDBETWEEN(20000,100000),IF(C15="Environmental Pollution",RANDBETWEEN(50000,120000),IF(C15="Damage to Other Vessels",RANDBETWEEN(15000,90000),IF(C15="Injury to Third Parties",RANDBETWEEN(5000,60000))))))</f>
        <v>66363</v>
      </c>
      <c r="M15" s="77">
        <v>2</v>
      </c>
      <c r="N15" s="77">
        <f>IF(YEAR(B15)=2023, 1.03,
   IF(YEAR(B15)=2022, 1.0506,
   IF(YEAR(B15)=2021, 1.071612,
   IF(YEAR(B15)=2020, 1.10376036,
   IF(YEAR(B15)=2019, 1.1479107744,
   IF(YEAR(B15)=2018, 1.20530631312, 1))))))</f>
        <v>1.03</v>
      </c>
      <c r="O15" s="22">
        <f t="shared" si="1"/>
        <v>144496.03230000002</v>
      </c>
      <c r="P15" s="22">
        <f t="shared" si="2"/>
        <v>129517.80230000002</v>
      </c>
      <c r="Q15" s="24">
        <f t="shared" si="3"/>
        <v>129517.80230000002</v>
      </c>
      <c r="R15" s="67">
        <f t="shared" si="4"/>
        <v>1</v>
      </c>
      <c r="S15" s="77">
        <f>YEAR(B15)</f>
        <v>2023</v>
      </c>
    </row>
    <row r="16" spans="1:19">
      <c r="A16" s="77" t="s">
        <v>64</v>
      </c>
      <c r="B16" s="1">
        <v>43738</v>
      </c>
      <c r="C16" s="77" t="s">
        <v>36</v>
      </c>
      <c r="D16" s="3">
        <v>701924.64</v>
      </c>
      <c r="E16" s="77" t="s">
        <v>37</v>
      </c>
      <c r="F16" s="21">
        <f t="shared" si="0"/>
        <v>726627.31</v>
      </c>
      <c r="G16" s="70">
        <v>5000000</v>
      </c>
      <c r="H16" s="3">
        <v>24702.67</v>
      </c>
      <c r="I16" s="77" t="s">
        <v>27</v>
      </c>
      <c r="J16" s="77" t="s">
        <v>28</v>
      </c>
      <c r="K16" s="77" t="s">
        <v>65</v>
      </c>
      <c r="L16" s="77">
        <f ca="1">IF(C16="Cargo Liability",RANDBETWEEN(10000,80000),IF(C16="Collision Liability",RANDBETWEEN(20000,100000),IF(C16="Environmental Pollution",RANDBETWEEN(50000,120000),IF(C16="Damage to Other Vessels",RANDBETWEEN(15000,90000),IF(C16="Injury to Third Parties",RANDBETWEEN(5000,60000))))))</f>
        <v>71405</v>
      </c>
      <c r="M16" s="77">
        <v>6</v>
      </c>
      <c r="N16" s="77">
        <f>IF(YEAR(B16)=2023, 1.03,
   IF(YEAR(B16)=2022, 1.0506,
   IF(YEAR(B16)=2021, 1.071612,
   IF(YEAR(B16)=2020, 1.10376036,
   IF(YEAR(B16)=2019, 1.1479107744,
   IF(YEAR(B16)=2018, 1.20530631312, 1))))))</f>
        <v>1.1479107743999999</v>
      </c>
      <c r="O16" s="22">
        <f t="shared" si="1"/>
        <v>834103.31812228879</v>
      </c>
      <c r="P16" s="22">
        <f t="shared" si="2"/>
        <v>809400.64812228875</v>
      </c>
      <c r="Q16" s="24">
        <f t="shared" si="3"/>
        <v>809400.64812228875</v>
      </c>
      <c r="R16" s="67">
        <f t="shared" si="4"/>
        <v>1</v>
      </c>
      <c r="S16" s="77">
        <f>YEAR(B16)</f>
        <v>2019</v>
      </c>
    </row>
    <row r="17" spans="1:19">
      <c r="A17" s="77" t="s">
        <v>66</v>
      </c>
      <c r="B17" s="1">
        <v>43294</v>
      </c>
      <c r="C17" s="77" t="s">
        <v>42</v>
      </c>
      <c r="D17" s="3">
        <v>590732.85</v>
      </c>
      <c r="E17" s="77" t="s">
        <v>21</v>
      </c>
      <c r="F17" s="21">
        <f t="shared" si="0"/>
        <v>600165.35</v>
      </c>
      <c r="G17" s="70">
        <v>5000000</v>
      </c>
      <c r="H17" s="3">
        <v>9432.5</v>
      </c>
      <c r="I17" s="77" t="s">
        <v>38</v>
      </c>
      <c r="J17" s="77" t="s">
        <v>33</v>
      </c>
      <c r="K17" s="77" t="s">
        <v>67</v>
      </c>
      <c r="L17" s="77">
        <f ca="1">IF(C17="Cargo Liability",RANDBETWEEN(10000,80000),IF(C17="Collision Liability",RANDBETWEEN(20000,100000),IF(C17="Environmental Pollution",RANDBETWEEN(50000,120000),IF(C17="Damage to Other Vessels",RANDBETWEEN(15000,90000),IF(C17="Injury to Third Parties",RANDBETWEEN(5000,60000))))))</f>
        <v>13476</v>
      </c>
      <c r="M17" s="77">
        <v>4</v>
      </c>
      <c r="N17" s="77">
        <f>IF(YEAR(B17)=2023, 1.03,
   IF(YEAR(B17)=2022, 1.0506,
   IF(YEAR(B17)=2021, 1.071612,
   IF(YEAR(B17)=2020, 1.10376036,
   IF(YEAR(B17)=2019, 1.1479107744,
   IF(YEAR(B17)=2018, 1.20530631312, 1))))))</f>
        <v>1.2053063131199999</v>
      </c>
      <c r="O17" s="22">
        <f t="shared" si="1"/>
        <v>723383.08527087432</v>
      </c>
      <c r="P17" s="22">
        <f t="shared" si="2"/>
        <v>713950.58527087432</v>
      </c>
      <c r="Q17" s="24">
        <f t="shared" si="3"/>
        <v>713950.58527087432</v>
      </c>
      <c r="R17" s="67">
        <f t="shared" si="4"/>
        <v>1</v>
      </c>
      <c r="S17" s="77">
        <f>YEAR(B17)</f>
        <v>2018</v>
      </c>
    </row>
    <row r="18" spans="1:19">
      <c r="A18" s="77" t="s">
        <v>68</v>
      </c>
      <c r="B18" s="1">
        <v>44288</v>
      </c>
      <c r="C18" s="77" t="s">
        <v>20</v>
      </c>
      <c r="D18" s="3">
        <v>358145.93</v>
      </c>
      <c r="E18" s="77" t="s">
        <v>21</v>
      </c>
      <c r="F18" s="21">
        <f t="shared" si="0"/>
        <v>375066.3</v>
      </c>
      <c r="G18" s="70">
        <v>2000000</v>
      </c>
      <c r="H18" s="3">
        <v>16920.37</v>
      </c>
      <c r="I18" s="77" t="s">
        <v>22</v>
      </c>
      <c r="J18" s="77" t="s">
        <v>39</v>
      </c>
      <c r="K18" s="77" t="s">
        <v>69</v>
      </c>
      <c r="L18" s="77">
        <f ca="1">IF(C18="Cargo Liability",RANDBETWEEN(10000,80000),IF(C18="Collision Liability",RANDBETWEEN(20000,100000),IF(C18="Environmental Pollution",RANDBETWEEN(50000,120000),IF(C18="Damage to Other Vessels",RANDBETWEEN(15000,90000),IF(C18="Injury to Third Parties",RANDBETWEEN(5000,60000))))))</f>
        <v>66440</v>
      </c>
      <c r="M18" s="77">
        <v>7</v>
      </c>
      <c r="N18" s="77">
        <f>IF(YEAR(B18)=2023, 1.03,
   IF(YEAR(B18)=2022, 1.0506,
   IF(YEAR(B18)=2021, 1.071612,
   IF(YEAR(B18)=2020, 1.10376036,
   IF(YEAR(B18)=2019, 1.1479107744,
   IF(YEAR(B18)=2018, 1.20530631312, 1))))))</f>
        <v>1.071612</v>
      </c>
      <c r="O18" s="22">
        <f t="shared" si="1"/>
        <v>401925.54787559999</v>
      </c>
      <c r="P18" s="22">
        <f t="shared" si="2"/>
        <v>385005.1778756</v>
      </c>
      <c r="Q18" s="24">
        <f t="shared" si="3"/>
        <v>385005.1778756</v>
      </c>
      <c r="R18" s="67">
        <f t="shared" si="4"/>
        <v>1</v>
      </c>
      <c r="S18" s="77">
        <f>YEAR(B18)</f>
        <v>2021</v>
      </c>
    </row>
    <row r="19" spans="1:19">
      <c r="A19" s="77" t="s">
        <v>70</v>
      </c>
      <c r="B19" s="1">
        <v>43641</v>
      </c>
      <c r="C19" s="77" t="s">
        <v>31</v>
      </c>
      <c r="D19" s="3">
        <v>453896.75</v>
      </c>
      <c r="E19" s="77" t="s">
        <v>21</v>
      </c>
      <c r="F19" s="21">
        <f t="shared" si="0"/>
        <v>492825.48</v>
      </c>
      <c r="G19" s="70">
        <v>500000</v>
      </c>
      <c r="H19" s="3">
        <v>38928.730000000003</v>
      </c>
      <c r="I19" s="77" t="s">
        <v>32</v>
      </c>
      <c r="J19" s="77" t="s">
        <v>48</v>
      </c>
      <c r="K19" s="77" t="s">
        <v>53</v>
      </c>
      <c r="L19" s="77">
        <f ca="1">IF(C19="Cargo Liability",RANDBETWEEN(10000,80000),IF(C19="Collision Liability",RANDBETWEEN(20000,100000),IF(C19="Environmental Pollution",RANDBETWEEN(50000,120000),IF(C19="Damage to Other Vessels",RANDBETWEEN(15000,90000),IF(C19="Injury to Third Parties",RANDBETWEEN(5000,60000))))))</f>
        <v>77543</v>
      </c>
      <c r="M19" s="77">
        <v>5</v>
      </c>
      <c r="N19" s="77">
        <f>IF(YEAR(B19)=2023, 1.03,
   IF(YEAR(B19)=2022, 1.0506,
   IF(YEAR(B19)=2021, 1.071612,
   IF(YEAR(B19)=2020, 1.10376036,
   IF(YEAR(B19)=2019, 1.1479107744,
   IF(YEAR(B19)=2018, 1.20530631312, 1))))))</f>
        <v>1.1479107743999999</v>
      </c>
      <c r="O19" s="22">
        <f t="shared" si="1"/>
        <v>565719.67839085159</v>
      </c>
      <c r="P19" s="22">
        <f t="shared" si="2"/>
        <v>526790.94839085161</v>
      </c>
      <c r="Q19" s="24">
        <f t="shared" si="3"/>
        <v>500000</v>
      </c>
      <c r="R19" s="67">
        <f t="shared" si="4"/>
        <v>1</v>
      </c>
      <c r="S19" s="77">
        <f>YEAR(B19)</f>
        <v>2019</v>
      </c>
    </row>
    <row r="20" spans="1:19">
      <c r="A20" s="77" t="s">
        <v>71</v>
      </c>
      <c r="B20" s="1">
        <v>44754</v>
      </c>
      <c r="C20" s="77" t="s">
        <v>26</v>
      </c>
      <c r="D20" s="3">
        <v>195984.65</v>
      </c>
      <c r="E20" s="77" t="s">
        <v>43</v>
      </c>
      <c r="F20" s="21">
        <f t="shared" si="0"/>
        <v>215631.84</v>
      </c>
      <c r="G20" s="70">
        <v>500000</v>
      </c>
      <c r="H20" s="3">
        <v>19647.189999999999</v>
      </c>
      <c r="I20" s="77" t="s">
        <v>27</v>
      </c>
      <c r="J20" s="77" t="s">
        <v>23</v>
      </c>
      <c r="K20" s="77" t="s">
        <v>55</v>
      </c>
      <c r="L20" s="77">
        <f ca="1">IF(C20="Cargo Liability",RANDBETWEEN(10000,80000),IF(C20="Collision Liability",RANDBETWEEN(20000,100000),IF(C20="Environmental Pollution",RANDBETWEEN(50000,120000),IF(C20="Damage to Other Vessels",RANDBETWEEN(15000,90000),IF(C20="Injury to Third Parties",RANDBETWEEN(5000,60000))))))</f>
        <v>62541</v>
      </c>
      <c r="M20" s="77">
        <v>3</v>
      </c>
      <c r="N20" s="77">
        <f>IF(YEAR(B20)=2023, 1.03,
   IF(YEAR(B20)=2022, 1.0506,
   IF(YEAR(B20)=2021, 1.071612,
   IF(YEAR(B20)=2020, 1.10376036,
   IF(YEAR(B20)=2019, 1.1479107744,
   IF(YEAR(B20)=2018, 1.20530631312, 1))))))</f>
        <v>1.0506</v>
      </c>
      <c r="O20" s="22">
        <f t="shared" si="1"/>
        <v>226542.81110399999</v>
      </c>
      <c r="P20" s="22">
        <f t="shared" si="2"/>
        <v>206895.62110399999</v>
      </c>
      <c r="Q20" s="24">
        <f t="shared" si="3"/>
        <v>206895.62110399999</v>
      </c>
      <c r="R20" s="67">
        <f t="shared" si="4"/>
        <v>1</v>
      </c>
      <c r="S20" s="77">
        <f>YEAR(B20)</f>
        <v>2022</v>
      </c>
    </row>
    <row r="21" spans="1:19">
      <c r="A21" s="77" t="s">
        <v>72</v>
      </c>
      <c r="B21" s="1">
        <v>43910</v>
      </c>
      <c r="C21" s="77" t="s">
        <v>36</v>
      </c>
      <c r="D21" s="3">
        <v>472804.33</v>
      </c>
      <c r="E21" s="77" t="s">
        <v>37</v>
      </c>
      <c r="F21" s="21">
        <f t="shared" si="0"/>
        <v>518485.62</v>
      </c>
      <c r="G21" s="70">
        <v>5000000</v>
      </c>
      <c r="H21" s="3">
        <v>45681.29</v>
      </c>
      <c r="I21" s="77" t="s">
        <v>38</v>
      </c>
      <c r="J21" s="77" t="s">
        <v>28</v>
      </c>
      <c r="K21" s="77" t="s">
        <v>49</v>
      </c>
      <c r="L21" s="77">
        <f ca="1">IF(C21="Cargo Liability",RANDBETWEEN(10000,80000),IF(C21="Collision Liability",RANDBETWEEN(20000,100000),IF(C21="Environmental Pollution",RANDBETWEEN(50000,120000),IF(C21="Damage to Other Vessels",RANDBETWEEN(15000,90000),IF(C21="Injury to Third Parties",RANDBETWEEN(5000,60000))))))</f>
        <v>80627</v>
      </c>
      <c r="M21" s="77">
        <v>8</v>
      </c>
      <c r="N21" s="77">
        <f>IF(YEAR(B21)=2023, 1.03,
   IF(YEAR(B21)=2022, 1.0506,
   IF(YEAR(B21)=2021, 1.071612,
   IF(YEAR(B21)=2020, 1.10376036,
   IF(YEAR(B21)=2019, 1.1479107744,
   IF(YEAR(B21)=2018, 1.20530631312, 1))))))</f>
        <v>1.1037603600000001</v>
      </c>
      <c r="O21" s="22">
        <f t="shared" si="1"/>
        <v>572283.87458602327</v>
      </c>
      <c r="P21" s="22">
        <f t="shared" si="2"/>
        <v>526602.58458602324</v>
      </c>
      <c r="Q21" s="24">
        <f t="shared" si="3"/>
        <v>526602.58458602324</v>
      </c>
      <c r="R21" s="67">
        <f t="shared" si="4"/>
        <v>1</v>
      </c>
      <c r="S21" s="77">
        <f>YEAR(B21)</f>
        <v>2020</v>
      </c>
    </row>
    <row r="22" spans="1:19">
      <c r="A22" s="77" t="s">
        <v>73</v>
      </c>
      <c r="B22" s="1">
        <v>45076</v>
      </c>
      <c r="C22" s="77" t="s">
        <v>42</v>
      </c>
      <c r="D22" s="3">
        <v>87924.45</v>
      </c>
      <c r="E22" s="77" t="s">
        <v>21</v>
      </c>
      <c r="F22" s="21">
        <f t="shared" si="0"/>
        <v>111522.66</v>
      </c>
      <c r="G22" s="70">
        <v>500000</v>
      </c>
      <c r="H22" s="3">
        <v>23598.21</v>
      </c>
      <c r="I22" s="77" t="s">
        <v>27</v>
      </c>
      <c r="J22" s="77" t="s">
        <v>48</v>
      </c>
      <c r="K22" s="77" t="s">
        <v>61</v>
      </c>
      <c r="L22" s="77">
        <f ca="1">IF(C22="Cargo Liability",RANDBETWEEN(10000,80000),IF(C22="Collision Liability",RANDBETWEEN(20000,100000),IF(C22="Environmental Pollution",RANDBETWEEN(50000,120000),IF(C22="Damage to Other Vessels",RANDBETWEEN(15000,90000),IF(C22="Injury to Third Parties",RANDBETWEEN(5000,60000))))))</f>
        <v>28285</v>
      </c>
      <c r="M22" s="77">
        <v>4</v>
      </c>
      <c r="N22" s="77">
        <f>IF(YEAR(B22)=2023, 1.03,
   IF(YEAR(B22)=2022, 1.0506,
   IF(YEAR(B22)=2021, 1.071612,
   IF(YEAR(B22)=2020, 1.10376036,
   IF(YEAR(B22)=2019, 1.1479107744,
   IF(YEAR(B22)=2018, 1.20530631312, 1))))))</f>
        <v>1.03</v>
      </c>
      <c r="O22" s="22">
        <f t="shared" si="1"/>
        <v>114868.3398</v>
      </c>
      <c r="P22" s="22">
        <f t="shared" si="2"/>
        <v>91270.129799999995</v>
      </c>
      <c r="Q22" s="24">
        <f t="shared" si="3"/>
        <v>91270.129799999995</v>
      </c>
      <c r="R22" s="67">
        <f t="shared" si="4"/>
        <v>1</v>
      </c>
      <c r="S22" s="77">
        <f>YEAR(B22)</f>
        <v>2023</v>
      </c>
    </row>
    <row r="23" spans="1:19">
      <c r="A23" s="77" t="s">
        <v>74</v>
      </c>
      <c r="B23" s="1">
        <v>44533</v>
      </c>
      <c r="C23" s="77" t="s">
        <v>20</v>
      </c>
      <c r="D23" s="3">
        <v>654327.44999999995</v>
      </c>
      <c r="E23" s="77" t="s">
        <v>21</v>
      </c>
      <c r="F23" s="21">
        <f t="shared" si="0"/>
        <v>673030.17999999993</v>
      </c>
      <c r="G23" s="70">
        <v>5000000</v>
      </c>
      <c r="H23" s="3">
        <v>18702.73</v>
      </c>
      <c r="I23" s="77" t="s">
        <v>22</v>
      </c>
      <c r="J23" s="77" t="s">
        <v>28</v>
      </c>
      <c r="K23" s="77" t="s">
        <v>75</v>
      </c>
      <c r="L23" s="77">
        <f ca="1">IF(C23="Cargo Liability",RANDBETWEEN(10000,80000),IF(C23="Collision Liability",RANDBETWEEN(20000,100000),IF(C23="Environmental Pollution",RANDBETWEEN(50000,120000),IF(C23="Damage to Other Vessels",RANDBETWEEN(15000,90000),IF(C23="Injury to Third Parties",RANDBETWEEN(5000,60000))))))</f>
        <v>40375</v>
      </c>
      <c r="M23" s="77">
        <v>7</v>
      </c>
      <c r="N23" s="77">
        <f>IF(YEAR(B23)=2023, 1.03,
   IF(YEAR(B23)=2022, 1.0506,
   IF(YEAR(B23)=2021, 1.071612,
   IF(YEAR(B23)=2020, 1.10376036,
   IF(YEAR(B23)=2019, 1.1479107744,
   IF(YEAR(B23)=2018, 1.20530631312, 1))))))</f>
        <v>1.071612</v>
      </c>
      <c r="O23" s="22">
        <f t="shared" si="1"/>
        <v>721227.21725015994</v>
      </c>
      <c r="P23" s="22">
        <f t="shared" si="2"/>
        <v>702524.48725015996</v>
      </c>
      <c r="Q23" s="24">
        <f t="shared" si="3"/>
        <v>702524.48725015996</v>
      </c>
      <c r="R23" s="67">
        <f t="shared" si="4"/>
        <v>1</v>
      </c>
      <c r="S23" s="77">
        <f>YEAR(B23)</f>
        <v>2021</v>
      </c>
    </row>
    <row r="24" spans="1:19">
      <c r="A24" s="77" t="s">
        <v>76</v>
      </c>
      <c r="B24" s="1">
        <v>43993</v>
      </c>
      <c r="C24" s="77" t="s">
        <v>31</v>
      </c>
      <c r="D24" s="3">
        <v>231548.73</v>
      </c>
      <c r="E24" s="77" t="s">
        <v>37</v>
      </c>
      <c r="F24" s="21">
        <f t="shared" si="0"/>
        <v>268477.11</v>
      </c>
      <c r="G24" s="70">
        <v>500000</v>
      </c>
      <c r="H24" s="3">
        <v>36928.379999999997</v>
      </c>
      <c r="I24" s="77" t="s">
        <v>32</v>
      </c>
      <c r="J24" s="77" t="s">
        <v>39</v>
      </c>
      <c r="K24" s="77" t="s">
        <v>34</v>
      </c>
      <c r="L24" s="77">
        <f ca="1">IF(C24="Cargo Liability",RANDBETWEEN(10000,80000),IF(C24="Collision Liability",RANDBETWEEN(20000,100000),IF(C24="Environmental Pollution",RANDBETWEEN(50000,120000),IF(C24="Damage to Other Vessels",RANDBETWEEN(15000,90000),IF(C24="Injury to Third Parties",RANDBETWEEN(5000,60000))))))</f>
        <v>29708</v>
      </c>
      <c r="M24" s="77">
        <v>5</v>
      </c>
      <c r="N24" s="77">
        <f>IF(YEAR(B24)=2023, 1.03,
   IF(YEAR(B24)=2022, 1.0506,
   IF(YEAR(B24)=2021, 1.071612,
   IF(YEAR(B24)=2020, 1.10376036,
   IF(YEAR(B24)=2019, 1.1479107744,
   IF(YEAR(B24)=2018, 1.20530631312, 1))))))</f>
        <v>1.1037603600000001</v>
      </c>
      <c r="O24" s="22">
        <f t="shared" si="1"/>
        <v>296334.39158535964</v>
      </c>
      <c r="P24" s="22">
        <f t="shared" si="2"/>
        <v>259406.01158535964</v>
      </c>
      <c r="Q24" s="24">
        <f t="shared" si="3"/>
        <v>259406.01158535964</v>
      </c>
      <c r="R24" s="67">
        <f t="shared" si="4"/>
        <v>1</v>
      </c>
      <c r="S24" s="77">
        <f>YEAR(B24)</f>
        <v>2020</v>
      </c>
    </row>
    <row r="25" spans="1:19">
      <c r="A25" s="77" t="s">
        <v>77</v>
      </c>
      <c r="B25" s="1">
        <v>43695</v>
      </c>
      <c r="C25" s="77" t="s">
        <v>36</v>
      </c>
      <c r="D25" s="3">
        <v>194738.52</v>
      </c>
      <c r="E25" s="77" t="s">
        <v>43</v>
      </c>
      <c r="F25" s="21">
        <f t="shared" si="0"/>
        <v>210177.78999999998</v>
      </c>
      <c r="G25" s="70">
        <v>500000</v>
      </c>
      <c r="H25" s="3">
        <v>15439.27</v>
      </c>
      <c r="I25" s="77" t="s">
        <v>38</v>
      </c>
      <c r="J25" s="77" t="s">
        <v>23</v>
      </c>
      <c r="K25" s="77" t="s">
        <v>40</v>
      </c>
      <c r="L25" s="77">
        <f ca="1">IF(C25="Cargo Liability",RANDBETWEEN(10000,80000),IF(C25="Collision Liability",RANDBETWEEN(20000,100000),IF(C25="Environmental Pollution",RANDBETWEEN(50000,120000),IF(C25="Damage to Other Vessels",RANDBETWEEN(15000,90000),IF(C25="Injury to Third Parties",RANDBETWEEN(5000,60000))))))</f>
        <v>101901</v>
      </c>
      <c r="M25" s="77">
        <v>8</v>
      </c>
      <c r="N25" s="77">
        <f>IF(YEAR(B25)=2023, 1.03,
   IF(YEAR(B25)=2022, 1.0506,
   IF(YEAR(B25)=2021, 1.071612,
   IF(YEAR(B25)=2020, 1.10376036,
   IF(YEAR(B25)=2019, 1.1479107744,
   IF(YEAR(B25)=2018, 1.20530631312, 1))))))</f>
        <v>1.1479107743999999</v>
      </c>
      <c r="O25" s="22">
        <f t="shared" si="1"/>
        <v>241265.34968058052</v>
      </c>
      <c r="P25" s="22">
        <f t="shared" si="2"/>
        <v>225826.07968058053</v>
      </c>
      <c r="Q25" s="24">
        <f t="shared" si="3"/>
        <v>225826.07968058053</v>
      </c>
      <c r="R25" s="67">
        <f t="shared" si="4"/>
        <v>1</v>
      </c>
      <c r="S25" s="77">
        <f>YEAR(B25)</f>
        <v>2019</v>
      </c>
    </row>
    <row r="26" spans="1:19">
      <c r="A26" s="77" t="s">
        <v>78</v>
      </c>
      <c r="B26" s="1">
        <v>44818</v>
      </c>
      <c r="C26" s="77" t="s">
        <v>26</v>
      </c>
      <c r="D26" s="3">
        <v>872394.65</v>
      </c>
      <c r="E26" s="77" t="s">
        <v>21</v>
      </c>
      <c r="F26" s="21">
        <f t="shared" si="0"/>
        <v>896897.03</v>
      </c>
      <c r="G26" s="70">
        <v>10000000</v>
      </c>
      <c r="H26" s="3">
        <v>24502.38</v>
      </c>
      <c r="I26" s="77" t="s">
        <v>22</v>
      </c>
      <c r="J26" s="77" t="s">
        <v>33</v>
      </c>
      <c r="K26" s="77" t="s">
        <v>29</v>
      </c>
      <c r="L26" s="77">
        <f ca="1">IF(C26="Cargo Liability",RANDBETWEEN(10000,80000),IF(C26="Collision Liability",RANDBETWEEN(20000,100000),IF(C26="Environmental Pollution",RANDBETWEEN(50000,120000),IF(C26="Damage to Other Vessels",RANDBETWEEN(15000,90000),IF(C26="Injury to Third Parties",RANDBETWEEN(5000,60000))))))</f>
        <v>23269</v>
      </c>
      <c r="M26" s="77">
        <v>2</v>
      </c>
      <c r="N26" s="77">
        <f>IF(YEAR(B26)=2023, 1.03,
   IF(YEAR(B26)=2022, 1.0506,
   IF(YEAR(B26)=2021, 1.071612,
   IF(YEAR(B26)=2020, 1.10376036,
   IF(YEAR(B26)=2019, 1.1479107744,
   IF(YEAR(B26)=2018, 1.20530631312, 1))))))</f>
        <v>1.0506</v>
      </c>
      <c r="O26" s="22">
        <f t="shared" si="1"/>
        <v>942280.01971799997</v>
      </c>
      <c r="P26" s="22">
        <f t="shared" si="2"/>
        <v>917777.63971799996</v>
      </c>
      <c r="Q26" s="24">
        <f t="shared" si="3"/>
        <v>917777.63971799996</v>
      </c>
      <c r="R26" s="67">
        <f t="shared" si="4"/>
        <v>1</v>
      </c>
      <c r="S26" s="77">
        <f>YEAR(B26)</f>
        <v>2022</v>
      </c>
    </row>
    <row r="27" spans="1:19">
      <c r="A27" s="77" t="s">
        <v>79</v>
      </c>
      <c r="B27" s="1">
        <v>43223</v>
      </c>
      <c r="C27" s="77" t="s">
        <v>20</v>
      </c>
      <c r="D27" s="3">
        <v>508739.15</v>
      </c>
      <c r="E27" s="77" t="s">
        <v>21</v>
      </c>
      <c r="F27" s="21">
        <f t="shared" si="0"/>
        <v>520721.69</v>
      </c>
      <c r="G27" s="70">
        <v>5000000</v>
      </c>
      <c r="H27" s="3">
        <v>11982.54</v>
      </c>
      <c r="I27" s="77" t="s">
        <v>27</v>
      </c>
      <c r="J27" s="77" t="s">
        <v>48</v>
      </c>
      <c r="K27" s="77" t="s">
        <v>24</v>
      </c>
      <c r="L27" s="77">
        <f ca="1">IF(C27="Cargo Liability",RANDBETWEEN(10000,80000),IF(C27="Collision Liability",RANDBETWEEN(20000,100000),IF(C27="Environmental Pollution",RANDBETWEEN(50000,120000),IF(C27="Damage to Other Vessels",RANDBETWEEN(15000,90000),IF(C27="Injury to Third Parties",RANDBETWEEN(5000,60000))))))</f>
        <v>50639</v>
      </c>
      <c r="M27" s="77">
        <v>3</v>
      </c>
      <c r="N27" s="77">
        <f>IF(YEAR(B27)=2023, 1.03,
   IF(YEAR(B27)=2022, 1.0506,
   IF(YEAR(B27)=2021, 1.071612,
   IF(YEAR(B27)=2020, 1.10376036,
   IF(YEAR(B27)=2019, 1.1479107744,
   IF(YEAR(B27)=2018, 1.20530631312, 1))))))</f>
        <v>1.2053063131199999</v>
      </c>
      <c r="O27" s="22">
        <f t="shared" si="1"/>
        <v>627629.14033551549</v>
      </c>
      <c r="P27" s="22">
        <f t="shared" si="2"/>
        <v>615646.60033551545</v>
      </c>
      <c r="Q27" s="24">
        <f t="shared" si="3"/>
        <v>615646.60033551545</v>
      </c>
      <c r="R27" s="67">
        <f t="shared" si="4"/>
        <v>1</v>
      </c>
      <c r="S27" s="77">
        <f>YEAR(B27)</f>
        <v>2018</v>
      </c>
    </row>
    <row r="28" spans="1:19">
      <c r="A28" s="77" t="s">
        <v>80</v>
      </c>
      <c r="B28" s="1">
        <v>44497</v>
      </c>
      <c r="C28" s="77" t="s">
        <v>31</v>
      </c>
      <c r="D28" s="3">
        <v>376234.78</v>
      </c>
      <c r="E28" s="77" t="s">
        <v>21</v>
      </c>
      <c r="F28" s="21">
        <f t="shared" si="0"/>
        <v>405983.4</v>
      </c>
      <c r="G28" s="70">
        <v>2000000</v>
      </c>
      <c r="H28" s="3">
        <v>29748.62</v>
      </c>
      <c r="I28" s="77" t="s">
        <v>32</v>
      </c>
      <c r="J28" s="77" t="s">
        <v>23</v>
      </c>
      <c r="K28" s="77" t="s">
        <v>59</v>
      </c>
      <c r="L28" s="77">
        <f ca="1">IF(C28="Cargo Liability",RANDBETWEEN(10000,80000),IF(C28="Collision Liability",RANDBETWEEN(20000,100000),IF(C28="Environmental Pollution",RANDBETWEEN(50000,120000),IF(C28="Damage to Other Vessels",RANDBETWEEN(15000,90000),IF(C28="Injury to Third Parties",RANDBETWEEN(5000,60000))))))</f>
        <v>70973</v>
      </c>
      <c r="M28" s="77">
        <v>7</v>
      </c>
      <c r="N28" s="77">
        <f>IF(YEAR(B28)=2023, 1.03,
   IF(YEAR(B28)=2022, 1.0506,
   IF(YEAR(B28)=2021, 1.071612,
   IF(YEAR(B28)=2020, 1.10376036,
   IF(YEAR(B28)=2019, 1.1479107744,
   IF(YEAR(B28)=2018, 1.20530631312, 1))))))</f>
        <v>1.071612</v>
      </c>
      <c r="O28" s="22">
        <f t="shared" si="1"/>
        <v>435056.68324080005</v>
      </c>
      <c r="P28" s="22">
        <f t="shared" si="2"/>
        <v>405308.06324080005</v>
      </c>
      <c r="Q28" s="24">
        <f t="shared" si="3"/>
        <v>405308.06324080005</v>
      </c>
      <c r="R28" s="67">
        <f t="shared" si="4"/>
        <v>1</v>
      </c>
      <c r="S28" s="77">
        <f>YEAR(B28)</f>
        <v>2021</v>
      </c>
    </row>
    <row r="29" spans="1:19">
      <c r="A29" s="77" t="s">
        <v>81</v>
      </c>
      <c r="B29" s="1">
        <v>43937</v>
      </c>
      <c r="C29" s="77" t="s">
        <v>36</v>
      </c>
      <c r="D29" s="3">
        <v>129803.75</v>
      </c>
      <c r="E29" s="77" t="s">
        <v>43</v>
      </c>
      <c r="F29" s="21">
        <f t="shared" si="0"/>
        <v>162723.88</v>
      </c>
      <c r="G29" s="70">
        <v>1000000</v>
      </c>
      <c r="H29" s="3">
        <v>32920.129999999997</v>
      </c>
      <c r="I29" s="77" t="s">
        <v>38</v>
      </c>
      <c r="J29" s="77" t="s">
        <v>39</v>
      </c>
      <c r="K29" s="77" t="s">
        <v>82</v>
      </c>
      <c r="L29" s="77">
        <f ca="1">IF(C29="Cargo Liability",RANDBETWEEN(10000,80000),IF(C29="Collision Liability",RANDBETWEEN(20000,100000),IF(C29="Environmental Pollution",RANDBETWEEN(50000,120000),IF(C29="Damage to Other Vessels",RANDBETWEEN(15000,90000),IF(C29="Injury to Third Parties",RANDBETWEEN(5000,60000))))))</f>
        <v>90846</v>
      </c>
      <c r="M29" s="77">
        <v>4</v>
      </c>
      <c r="N29" s="77">
        <f>IF(YEAR(B29)=2023, 1.03,
   IF(YEAR(B29)=2022, 1.0506,
   IF(YEAR(B29)=2021, 1.071612,
   IF(YEAR(B29)=2020, 1.10376036,
   IF(YEAR(B29)=2019, 1.1479107744,
   IF(YEAR(B29)=2018, 1.20530631312, 1))))))</f>
        <v>1.1037603600000001</v>
      </c>
      <c r="O29" s="22">
        <f t="shared" si="1"/>
        <v>179608.16836939682</v>
      </c>
      <c r="P29" s="22">
        <f t="shared" si="2"/>
        <v>146688.03836939682</v>
      </c>
      <c r="Q29" s="24">
        <f t="shared" si="3"/>
        <v>146688.03836939682</v>
      </c>
      <c r="R29" s="67">
        <f t="shared" si="4"/>
        <v>1</v>
      </c>
      <c r="S29" s="77">
        <f>YEAR(B29)</f>
        <v>2020</v>
      </c>
    </row>
    <row r="30" spans="1:19">
      <c r="A30" s="77" t="s">
        <v>83</v>
      </c>
      <c r="B30" s="1">
        <v>45114</v>
      </c>
      <c r="C30" s="77" t="s">
        <v>26</v>
      </c>
      <c r="D30" s="3">
        <v>731235.83999999997</v>
      </c>
      <c r="E30" s="77" t="s">
        <v>21</v>
      </c>
      <c r="F30" s="21">
        <f t="shared" si="0"/>
        <v>750172.09</v>
      </c>
      <c r="G30" s="70">
        <v>5000000</v>
      </c>
      <c r="H30" s="3">
        <v>18936.25</v>
      </c>
      <c r="I30" s="77" t="s">
        <v>27</v>
      </c>
      <c r="J30" s="77" t="s">
        <v>28</v>
      </c>
      <c r="K30" s="77" t="s">
        <v>65</v>
      </c>
      <c r="L30" s="77">
        <f ca="1">IF(C30="Cargo Liability",RANDBETWEEN(10000,80000),IF(C30="Collision Liability",RANDBETWEEN(20000,100000),IF(C30="Environmental Pollution",RANDBETWEEN(50000,120000),IF(C30="Damage to Other Vessels",RANDBETWEEN(15000,90000),IF(C30="Injury to Third Parties",RANDBETWEEN(5000,60000))))))</f>
        <v>51676</v>
      </c>
      <c r="M30" s="77">
        <v>2</v>
      </c>
      <c r="N30" s="77">
        <f>IF(YEAR(B30)=2023, 1.03,
   IF(YEAR(B30)=2022, 1.0506,
   IF(YEAR(B30)=2021, 1.071612,
   IF(YEAR(B30)=2020, 1.10376036,
   IF(YEAR(B30)=2019, 1.1479107744,
   IF(YEAR(B30)=2018, 1.20530631312, 1))))))</f>
        <v>1.03</v>
      </c>
      <c r="O30" s="22">
        <f t="shared" si="1"/>
        <v>772677.25269999995</v>
      </c>
      <c r="P30" s="22">
        <f t="shared" si="2"/>
        <v>753741.00269999995</v>
      </c>
      <c r="Q30" s="24">
        <f t="shared" si="3"/>
        <v>753741.00269999995</v>
      </c>
      <c r="R30" s="67">
        <f t="shared" si="4"/>
        <v>1</v>
      </c>
      <c r="S30" s="77">
        <f>YEAR(B30)</f>
        <v>2023</v>
      </c>
    </row>
    <row r="31" spans="1:19">
      <c r="A31" s="77" t="s">
        <v>84</v>
      </c>
      <c r="B31" s="1">
        <v>43487</v>
      </c>
      <c r="C31" s="77" t="s">
        <v>20</v>
      </c>
      <c r="D31" s="3">
        <v>158924.78</v>
      </c>
      <c r="E31" s="77" t="s">
        <v>21</v>
      </c>
      <c r="F31" s="21">
        <f t="shared" si="0"/>
        <v>174653.73</v>
      </c>
      <c r="G31" s="70">
        <v>1000000</v>
      </c>
      <c r="H31" s="3">
        <v>15728.95</v>
      </c>
      <c r="I31" s="77" t="s">
        <v>22</v>
      </c>
      <c r="J31" s="77" t="s">
        <v>48</v>
      </c>
      <c r="K31" s="77" t="s">
        <v>67</v>
      </c>
      <c r="L31" s="77">
        <f ca="1">IF(C31="Cargo Liability",RANDBETWEEN(10000,80000),IF(C31="Collision Liability",RANDBETWEEN(20000,100000),IF(C31="Environmental Pollution",RANDBETWEEN(50000,120000),IF(C31="Damage to Other Vessels",RANDBETWEEN(15000,90000),IF(C31="Injury to Third Parties",RANDBETWEEN(5000,60000))))))</f>
        <v>83861</v>
      </c>
      <c r="M31" s="77">
        <v>6</v>
      </c>
      <c r="N31" s="77">
        <f>IF(YEAR(B31)=2023, 1.03,
   IF(YEAR(B31)=2022, 1.0506,
   IF(YEAR(B31)=2021, 1.071612,
   IF(YEAR(B31)=2020, 1.10376036,
   IF(YEAR(B31)=2019, 1.1479107744,
   IF(YEAR(B31)=2018, 1.20530631312, 1))))))</f>
        <v>1.1479107743999999</v>
      </c>
      <c r="O31" s="22">
        <f t="shared" si="1"/>
        <v>200486.89845614851</v>
      </c>
      <c r="P31" s="22">
        <f t="shared" si="2"/>
        <v>184757.9484561485</v>
      </c>
      <c r="Q31" s="24">
        <f t="shared" si="3"/>
        <v>184757.9484561485</v>
      </c>
      <c r="R31" s="67">
        <f t="shared" si="4"/>
        <v>1</v>
      </c>
      <c r="S31" s="77">
        <f>YEAR(B31)</f>
        <v>2019</v>
      </c>
    </row>
    <row r="32" spans="1:19">
      <c r="A32" s="77" t="s">
        <v>85</v>
      </c>
      <c r="B32" s="1">
        <v>44874</v>
      </c>
      <c r="C32" s="77" t="s">
        <v>31</v>
      </c>
      <c r="D32" s="3">
        <v>439832.24</v>
      </c>
      <c r="E32" s="77" t="s">
        <v>21</v>
      </c>
      <c r="F32" s="21">
        <f t="shared" si="0"/>
        <v>471636.18</v>
      </c>
      <c r="G32" s="70">
        <v>2000000</v>
      </c>
      <c r="H32" s="3">
        <v>31803.94</v>
      </c>
      <c r="I32" s="77" t="s">
        <v>32</v>
      </c>
      <c r="J32" s="77" t="s">
        <v>28</v>
      </c>
      <c r="K32" s="77" t="s">
        <v>86</v>
      </c>
      <c r="L32" s="77">
        <f ca="1">IF(C32="Cargo Liability",RANDBETWEEN(10000,80000),IF(C32="Collision Liability",RANDBETWEEN(20000,100000),IF(C32="Environmental Pollution",RANDBETWEEN(50000,120000),IF(C32="Damage to Other Vessels",RANDBETWEEN(15000,90000),IF(C32="Injury to Third Parties",RANDBETWEEN(5000,60000))))))</f>
        <v>80920</v>
      </c>
      <c r="M32" s="77">
        <v>8</v>
      </c>
      <c r="N32" s="77">
        <f>IF(YEAR(B32)=2023, 1.03,
   IF(YEAR(B32)=2022, 1.0506,
   IF(YEAR(B32)=2021, 1.071612,
   IF(YEAR(B32)=2020, 1.10376036,
   IF(YEAR(B32)=2019, 1.1479107744,
   IF(YEAR(B32)=2018, 1.20530631312, 1))))))</f>
        <v>1.0506</v>
      </c>
      <c r="O32" s="22">
        <f t="shared" si="1"/>
        <v>495500.97070800001</v>
      </c>
      <c r="P32" s="22">
        <f t="shared" si="2"/>
        <v>463697.03070800001</v>
      </c>
      <c r="Q32" s="24">
        <f t="shared" si="3"/>
        <v>463697.03070800001</v>
      </c>
      <c r="R32" s="67">
        <f t="shared" si="4"/>
        <v>1</v>
      </c>
      <c r="S32" s="77">
        <f>YEAR(B32)</f>
        <v>2022</v>
      </c>
    </row>
    <row r="33" spans="1:19">
      <c r="A33" s="77" t="s">
        <v>87</v>
      </c>
      <c r="B33" s="1">
        <v>44056</v>
      </c>
      <c r="C33" s="77" t="s">
        <v>36</v>
      </c>
      <c r="D33" s="3">
        <v>690239.58</v>
      </c>
      <c r="E33" s="77" t="s">
        <v>43</v>
      </c>
      <c r="F33" s="21">
        <f t="shared" si="0"/>
        <v>717632.12</v>
      </c>
      <c r="G33" s="70">
        <v>5000000</v>
      </c>
      <c r="H33" s="3">
        <v>27392.54</v>
      </c>
      <c r="I33" s="77" t="s">
        <v>38</v>
      </c>
      <c r="J33" s="77" t="s">
        <v>33</v>
      </c>
      <c r="K33" s="77" t="s">
        <v>46</v>
      </c>
      <c r="L33" s="77">
        <f ca="1">IF(C33="Cargo Liability",RANDBETWEEN(10000,80000),IF(C33="Collision Liability",RANDBETWEEN(20000,100000),IF(C33="Environmental Pollution",RANDBETWEEN(50000,120000),IF(C33="Damage to Other Vessels",RANDBETWEEN(15000,90000),IF(C33="Injury to Third Parties",RANDBETWEEN(5000,60000))))))</f>
        <v>94587</v>
      </c>
      <c r="M33" s="77">
        <v>7</v>
      </c>
      <c r="N33" s="77">
        <f>IF(YEAR(B33)=2023, 1.03,
   IF(YEAR(B33)=2022, 1.0506,
   IF(YEAR(B33)=2021, 1.071612,
   IF(YEAR(B33)=2020, 1.10376036,
   IF(YEAR(B33)=2019, 1.1479107744,
   IF(YEAR(B33)=2018, 1.20530631312, 1))))))</f>
        <v>1.1037603600000001</v>
      </c>
      <c r="O33" s="22">
        <f t="shared" si="1"/>
        <v>792093.88711876329</v>
      </c>
      <c r="P33" s="22">
        <f t="shared" si="2"/>
        <v>764701.34711876325</v>
      </c>
      <c r="Q33" s="24">
        <f t="shared" si="3"/>
        <v>764701.34711876325</v>
      </c>
      <c r="R33" s="67">
        <f t="shared" si="4"/>
        <v>1</v>
      </c>
      <c r="S33" s="77">
        <f>YEAR(B33)</f>
        <v>2020</v>
      </c>
    </row>
    <row r="34" spans="1:19">
      <c r="A34" s="77" t="s">
        <v>88</v>
      </c>
      <c r="B34" s="1">
        <v>44350</v>
      </c>
      <c r="C34" s="77" t="s">
        <v>42</v>
      </c>
      <c r="D34" s="3">
        <v>215983.48</v>
      </c>
      <c r="E34" s="77" t="s">
        <v>21</v>
      </c>
      <c r="F34" s="21">
        <f t="shared" si="0"/>
        <v>236967.86000000002</v>
      </c>
      <c r="G34" s="70">
        <v>2000000</v>
      </c>
      <c r="H34" s="3">
        <v>20984.38</v>
      </c>
      <c r="I34" s="77" t="s">
        <v>27</v>
      </c>
      <c r="J34" s="77" t="s">
        <v>23</v>
      </c>
      <c r="K34" s="77" t="s">
        <v>63</v>
      </c>
      <c r="L34" s="77">
        <f ca="1">IF(C34="Cargo Liability",RANDBETWEEN(10000,80000),IF(C34="Collision Liability",RANDBETWEEN(20000,100000),IF(C34="Environmental Pollution",RANDBETWEEN(50000,120000),IF(C34="Damage to Other Vessels",RANDBETWEEN(15000,90000),IF(C34="Injury to Third Parties",RANDBETWEEN(5000,60000))))))</f>
        <v>28489</v>
      </c>
      <c r="M34" s="77">
        <v>4</v>
      </c>
      <c r="N34" s="77">
        <f>IF(YEAR(B34)=2023, 1.03,
   IF(YEAR(B34)=2022, 1.0506,
   IF(YEAR(B34)=2021, 1.071612,
   IF(YEAR(B34)=2020, 1.10376036,
   IF(YEAR(B34)=2019, 1.1479107744,
   IF(YEAR(B34)=2018, 1.20530631312, 1))))))</f>
        <v>1.071612</v>
      </c>
      <c r="O34" s="22">
        <f t="shared" si="1"/>
        <v>253937.60239032001</v>
      </c>
      <c r="P34" s="22">
        <f t="shared" si="2"/>
        <v>232953.22239032001</v>
      </c>
      <c r="Q34" s="24">
        <f t="shared" si="3"/>
        <v>232953.22239032001</v>
      </c>
      <c r="R34" s="67">
        <f t="shared" si="4"/>
        <v>1</v>
      </c>
      <c r="S34" s="77">
        <f>YEAR(B34)</f>
        <v>2021</v>
      </c>
    </row>
    <row r="35" spans="1:19">
      <c r="A35" s="77" t="s">
        <v>89</v>
      </c>
      <c r="B35" s="1">
        <v>43785</v>
      </c>
      <c r="C35" s="77" t="s">
        <v>20</v>
      </c>
      <c r="D35" s="3">
        <v>507983.42</v>
      </c>
      <c r="E35" s="77" t="s">
        <v>37</v>
      </c>
      <c r="F35" s="21">
        <f t="shared" si="0"/>
        <v>543166.67999999993</v>
      </c>
      <c r="G35" s="70">
        <v>5000000</v>
      </c>
      <c r="H35" s="3">
        <v>35183.26</v>
      </c>
      <c r="I35" s="77" t="s">
        <v>22</v>
      </c>
      <c r="J35" s="77" t="s">
        <v>39</v>
      </c>
      <c r="K35" s="77" t="s">
        <v>53</v>
      </c>
      <c r="L35" s="77">
        <f ca="1">IF(C35="Cargo Liability",RANDBETWEEN(10000,80000),IF(C35="Collision Liability",RANDBETWEEN(20000,100000),IF(C35="Environmental Pollution",RANDBETWEEN(50000,120000),IF(C35="Damage to Other Vessels",RANDBETWEEN(15000,90000),IF(C35="Injury to Third Parties",RANDBETWEEN(5000,60000))))))</f>
        <v>25021</v>
      </c>
      <c r="M35" s="77">
        <v>2</v>
      </c>
      <c r="N35" s="77">
        <f>IF(YEAR(B35)=2023, 1.03,
   IF(YEAR(B35)=2022, 1.0506,
   IF(YEAR(B35)=2021, 1.071612,
   IF(YEAR(B35)=2020, 1.10376036,
   IF(YEAR(B35)=2019, 1.1479107744,
   IF(YEAR(B35)=2018, 1.20530631312, 1))))))</f>
        <v>1.1479107743999999</v>
      </c>
      <c r="O35" s="22">
        <f t="shared" si="1"/>
        <v>623506.88426707685</v>
      </c>
      <c r="P35" s="22">
        <f t="shared" si="2"/>
        <v>588323.62426707684</v>
      </c>
      <c r="Q35" s="24">
        <f t="shared" si="3"/>
        <v>588323.62426707684</v>
      </c>
      <c r="R35" s="67">
        <f t="shared" si="4"/>
        <v>1</v>
      </c>
      <c r="S35" s="77">
        <f>YEAR(B35)</f>
        <v>2019</v>
      </c>
    </row>
    <row r="36" spans="1:19">
      <c r="A36" s="77" t="s">
        <v>90</v>
      </c>
      <c r="B36" s="1">
        <v>43463</v>
      </c>
      <c r="C36" s="77" t="s">
        <v>31</v>
      </c>
      <c r="D36" s="3">
        <v>451973.22</v>
      </c>
      <c r="E36" s="77" t="s">
        <v>21</v>
      </c>
      <c r="F36" s="21">
        <f t="shared" si="0"/>
        <v>480319.12999999995</v>
      </c>
      <c r="G36" s="70">
        <v>500000</v>
      </c>
      <c r="H36" s="3">
        <v>28345.91</v>
      </c>
      <c r="I36" s="77" t="s">
        <v>32</v>
      </c>
      <c r="J36" s="77" t="s">
        <v>33</v>
      </c>
      <c r="K36" s="77" t="s">
        <v>51</v>
      </c>
      <c r="L36" s="77">
        <f ca="1">IF(C36="Cargo Liability",RANDBETWEEN(10000,80000),IF(C36="Collision Liability",RANDBETWEEN(20000,100000),IF(C36="Environmental Pollution",RANDBETWEEN(50000,120000),IF(C36="Damage to Other Vessels",RANDBETWEEN(15000,90000),IF(C36="Injury to Third Parties",RANDBETWEEN(5000,60000))))))</f>
        <v>84827</v>
      </c>
      <c r="M36" s="77">
        <v>4</v>
      </c>
      <c r="N36" s="77">
        <f>IF(YEAR(B36)=2023, 1.03,
   IF(YEAR(B36)=2022, 1.0506,
   IF(YEAR(B36)=2021, 1.071612,
   IF(YEAR(B36)=2020, 1.10376036,
   IF(YEAR(B36)=2019, 1.1479107744,
   IF(YEAR(B36)=2018, 1.20530631312, 1))))))</f>
        <v>1.2053063131199999</v>
      </c>
      <c r="O36" s="22">
        <f t="shared" si="1"/>
        <v>578931.67970130593</v>
      </c>
      <c r="P36" s="22">
        <f t="shared" si="2"/>
        <v>550585.76970130589</v>
      </c>
      <c r="Q36" s="24">
        <f t="shared" si="3"/>
        <v>500000</v>
      </c>
      <c r="R36" s="67">
        <f t="shared" si="4"/>
        <v>1</v>
      </c>
      <c r="S36" s="77">
        <f>YEAR(B36)</f>
        <v>2018</v>
      </c>
    </row>
    <row r="37" spans="1:19">
      <c r="A37" s="77" t="s">
        <v>91</v>
      </c>
      <c r="B37" s="1">
        <v>44423</v>
      </c>
      <c r="C37" s="77" t="s">
        <v>26</v>
      </c>
      <c r="D37" s="3">
        <v>289524.33</v>
      </c>
      <c r="E37" s="77" t="s">
        <v>21</v>
      </c>
      <c r="F37" s="21">
        <f t="shared" si="0"/>
        <v>314363.61</v>
      </c>
      <c r="G37" s="70">
        <v>2000000</v>
      </c>
      <c r="H37" s="3">
        <v>24839.279999999999</v>
      </c>
      <c r="I37" s="77" t="s">
        <v>27</v>
      </c>
      <c r="J37" s="77" t="s">
        <v>28</v>
      </c>
      <c r="K37" s="77" t="s">
        <v>57</v>
      </c>
      <c r="L37" s="77">
        <f ca="1">IF(C37="Cargo Liability",RANDBETWEEN(10000,80000),IF(C37="Collision Liability",RANDBETWEEN(20000,100000),IF(C37="Environmental Pollution",RANDBETWEEN(50000,120000),IF(C37="Damage to Other Vessels",RANDBETWEEN(15000,90000),IF(C37="Injury to Third Parties",RANDBETWEEN(5000,60000))))))</f>
        <v>14333</v>
      </c>
      <c r="M37" s="77">
        <v>3</v>
      </c>
      <c r="N37" s="77">
        <f>IF(YEAR(B37)=2023, 1.03,
   IF(YEAR(B37)=2022, 1.0506,
   IF(YEAR(B37)=2021, 1.071612,
   IF(YEAR(B37)=2020, 1.10376036,
   IF(YEAR(B37)=2019, 1.1479107744,
   IF(YEAR(B37)=2018, 1.20530631312, 1))))))</f>
        <v>1.071612</v>
      </c>
      <c r="O37" s="22">
        <f t="shared" si="1"/>
        <v>336875.81683932</v>
      </c>
      <c r="P37" s="22">
        <f t="shared" si="2"/>
        <v>312036.53683931998</v>
      </c>
      <c r="Q37" s="24">
        <f t="shared" si="3"/>
        <v>312036.53683931998</v>
      </c>
      <c r="R37" s="67">
        <f t="shared" si="4"/>
        <v>1</v>
      </c>
      <c r="S37" s="77">
        <f>YEAR(B37)</f>
        <v>2021</v>
      </c>
    </row>
    <row r="38" spans="1:19">
      <c r="A38" s="77" t="s">
        <v>92</v>
      </c>
      <c r="B38" s="1">
        <v>43867</v>
      </c>
      <c r="C38" s="77" t="s">
        <v>36</v>
      </c>
      <c r="D38" s="3">
        <v>674832.75</v>
      </c>
      <c r="E38" s="77" t="s">
        <v>37</v>
      </c>
      <c r="F38" s="21">
        <f t="shared" si="0"/>
        <v>716116.29</v>
      </c>
      <c r="G38" s="70">
        <v>5000000</v>
      </c>
      <c r="H38" s="3">
        <v>41283.54</v>
      </c>
      <c r="I38" s="77" t="s">
        <v>38</v>
      </c>
      <c r="J38" s="77" t="s">
        <v>39</v>
      </c>
      <c r="K38" s="77" t="s">
        <v>44</v>
      </c>
      <c r="L38" s="77">
        <f ca="1">IF(C38="Cargo Liability",RANDBETWEEN(10000,80000),IF(C38="Collision Liability",RANDBETWEEN(20000,100000),IF(C38="Environmental Pollution",RANDBETWEEN(50000,120000),IF(C38="Damage to Other Vessels",RANDBETWEEN(15000,90000),IF(C38="Injury to Third Parties",RANDBETWEEN(5000,60000))))))</f>
        <v>97022</v>
      </c>
      <c r="M38" s="77">
        <v>5</v>
      </c>
      <c r="N38" s="77">
        <f>IF(YEAR(B38)=2023, 1.03,
   IF(YEAR(B38)=2022, 1.0506,
   IF(YEAR(B38)=2021, 1.071612,
   IF(YEAR(B38)=2020, 1.10376036,
   IF(YEAR(B38)=2019, 1.1479107744,
   IF(YEAR(B38)=2018, 1.20530631312, 1))))))</f>
        <v>1.1037603600000001</v>
      </c>
      <c r="O38" s="22">
        <f t="shared" si="1"/>
        <v>790420.77405226452</v>
      </c>
      <c r="P38" s="22">
        <f t="shared" si="2"/>
        <v>749137.23405226448</v>
      </c>
      <c r="Q38" s="24">
        <f t="shared" si="3"/>
        <v>749137.23405226448</v>
      </c>
      <c r="R38" s="67">
        <f t="shared" si="4"/>
        <v>1</v>
      </c>
      <c r="S38" s="77">
        <f>YEAR(B38)</f>
        <v>2020</v>
      </c>
    </row>
    <row r="39" spans="1:19">
      <c r="A39" s="77" t="s">
        <v>93</v>
      </c>
      <c r="B39" s="1">
        <v>45027</v>
      </c>
      <c r="C39" s="77" t="s">
        <v>42</v>
      </c>
      <c r="D39" s="3">
        <v>289523.34000000003</v>
      </c>
      <c r="E39" s="77" t="s">
        <v>43</v>
      </c>
      <c r="F39" s="21">
        <f t="shared" si="0"/>
        <v>316918.08</v>
      </c>
      <c r="G39" s="70">
        <v>2000000</v>
      </c>
      <c r="H39" s="3">
        <v>27394.74</v>
      </c>
      <c r="I39" s="77" t="s">
        <v>22</v>
      </c>
      <c r="J39" s="77" t="s">
        <v>48</v>
      </c>
      <c r="K39" s="77" t="s">
        <v>75</v>
      </c>
      <c r="L39" s="77">
        <f ca="1">IF(C39="Cargo Liability",RANDBETWEEN(10000,80000),IF(C39="Collision Liability",RANDBETWEEN(20000,100000),IF(C39="Environmental Pollution",RANDBETWEEN(50000,120000),IF(C39="Damage to Other Vessels",RANDBETWEEN(15000,90000),IF(C39="Injury to Third Parties",RANDBETWEEN(5000,60000))))))</f>
        <v>13103</v>
      </c>
      <c r="M39" s="77">
        <v>8</v>
      </c>
      <c r="N39" s="77">
        <f>IF(YEAR(B39)=2023, 1.03,
   IF(YEAR(B39)=2022, 1.0506,
   IF(YEAR(B39)=2021, 1.071612,
   IF(YEAR(B39)=2020, 1.10376036,
   IF(YEAR(B39)=2019, 1.1479107744,
   IF(YEAR(B39)=2018, 1.20530631312, 1))))))</f>
        <v>1.03</v>
      </c>
      <c r="O39" s="22">
        <f t="shared" si="1"/>
        <v>326425.62240000005</v>
      </c>
      <c r="P39" s="22">
        <f t="shared" si="2"/>
        <v>299030.88240000006</v>
      </c>
      <c r="Q39" s="24">
        <f t="shared" si="3"/>
        <v>299030.88240000006</v>
      </c>
      <c r="R39" s="67">
        <f t="shared" si="4"/>
        <v>1</v>
      </c>
      <c r="S39" s="77">
        <f>YEAR(B39)</f>
        <v>2023</v>
      </c>
    </row>
    <row r="40" spans="1:19">
      <c r="A40" s="77" t="s">
        <v>94</v>
      </c>
      <c r="B40" s="1">
        <v>44571</v>
      </c>
      <c r="C40" s="77" t="s">
        <v>20</v>
      </c>
      <c r="D40" s="3">
        <v>492783.45</v>
      </c>
      <c r="E40" s="77" t="s">
        <v>21</v>
      </c>
      <c r="F40" s="21">
        <f t="shared" si="0"/>
        <v>512067.73</v>
      </c>
      <c r="G40" s="70">
        <v>2000000</v>
      </c>
      <c r="H40" s="3">
        <v>19284.28</v>
      </c>
      <c r="I40" s="77" t="s">
        <v>27</v>
      </c>
      <c r="J40" s="77" t="s">
        <v>23</v>
      </c>
      <c r="K40" s="77" t="s">
        <v>49</v>
      </c>
      <c r="L40" s="77">
        <f ca="1">IF(C40="Cargo Liability",RANDBETWEEN(10000,80000),IF(C40="Collision Liability",RANDBETWEEN(20000,100000),IF(C40="Environmental Pollution",RANDBETWEEN(50000,120000),IF(C40="Damage to Other Vessels",RANDBETWEEN(15000,90000),IF(C40="Injury to Third Parties",RANDBETWEEN(5000,60000))))))</f>
        <v>37658</v>
      </c>
      <c r="M40" s="77">
        <v>6</v>
      </c>
      <c r="N40" s="77">
        <f>IF(YEAR(B40)=2023, 1.03,
   IF(YEAR(B40)=2022, 1.0506,
   IF(YEAR(B40)=2021, 1.071612,
   IF(YEAR(B40)=2020, 1.10376036,
   IF(YEAR(B40)=2019, 1.1479107744,
   IF(YEAR(B40)=2018, 1.20530631312, 1))))))</f>
        <v>1.0506</v>
      </c>
      <c r="O40" s="22">
        <f t="shared" si="1"/>
        <v>537978.35713799996</v>
      </c>
      <c r="P40" s="22">
        <f t="shared" si="2"/>
        <v>518694.07713799994</v>
      </c>
      <c r="Q40" s="24">
        <f t="shared" si="3"/>
        <v>518694.07713799994</v>
      </c>
      <c r="R40" s="67">
        <f t="shared" si="4"/>
        <v>1</v>
      </c>
      <c r="S40" s="77">
        <f>YEAR(B40)</f>
        <v>2022</v>
      </c>
    </row>
    <row r="41" spans="1:19">
      <c r="A41" s="77" t="s">
        <v>95</v>
      </c>
      <c r="B41" s="1">
        <v>43711</v>
      </c>
      <c r="C41" s="77" t="s">
        <v>31</v>
      </c>
      <c r="D41" s="3">
        <v>812739.57</v>
      </c>
      <c r="E41" s="77" t="s">
        <v>21</v>
      </c>
      <c r="F41" s="21">
        <f t="shared" si="0"/>
        <v>851033.0199999999</v>
      </c>
      <c r="G41" s="70">
        <v>5000000</v>
      </c>
      <c r="H41" s="3">
        <v>38293.449999999997</v>
      </c>
      <c r="I41" s="77" t="s">
        <v>32</v>
      </c>
      <c r="J41" s="77" t="s">
        <v>48</v>
      </c>
      <c r="K41" s="77" t="s">
        <v>82</v>
      </c>
      <c r="L41" s="77">
        <f ca="1">IF(C41="Cargo Liability",RANDBETWEEN(10000,80000),IF(C41="Collision Liability",RANDBETWEEN(20000,100000),IF(C41="Environmental Pollution",RANDBETWEEN(50000,120000),IF(C41="Damage to Other Vessels",RANDBETWEEN(15000,90000),IF(C41="Injury to Third Parties",RANDBETWEEN(5000,60000))))))</f>
        <v>75576</v>
      </c>
      <c r="M41" s="77">
        <v>7</v>
      </c>
      <c r="N41" s="77">
        <f>IF(YEAR(B41)=2023, 1.03,
   IF(YEAR(B41)=2022, 1.0506,
   IF(YEAR(B41)=2021, 1.071612,
   IF(YEAR(B41)=2020, 1.10376036,
   IF(YEAR(B41)=2019, 1.1479107744,
   IF(YEAR(B41)=2018, 1.20530631312, 1))))))</f>
        <v>1.1479107743999999</v>
      </c>
      <c r="O41" s="22">
        <f t="shared" si="1"/>
        <v>976909.97302817053</v>
      </c>
      <c r="P41" s="22">
        <f t="shared" si="2"/>
        <v>938616.52302817057</v>
      </c>
      <c r="Q41" s="24">
        <f t="shared" si="3"/>
        <v>938616.52302817057</v>
      </c>
      <c r="R41" s="67">
        <f t="shared" si="4"/>
        <v>1</v>
      </c>
      <c r="S41" s="77">
        <f>YEAR(B41)</f>
        <v>2019</v>
      </c>
    </row>
    <row r="42" spans="1:19">
      <c r="A42" s="77" t="s">
        <v>96</v>
      </c>
      <c r="B42" s="1">
        <v>44514</v>
      </c>
      <c r="C42" s="77" t="s">
        <v>36</v>
      </c>
      <c r="D42" s="3">
        <v>523987.21</v>
      </c>
      <c r="E42" s="77" t="s">
        <v>37</v>
      </c>
      <c r="F42" s="21">
        <f t="shared" si="0"/>
        <v>549880.48</v>
      </c>
      <c r="G42" s="70">
        <v>5000000</v>
      </c>
      <c r="H42" s="3">
        <v>25893.27</v>
      </c>
      <c r="I42" s="77" t="s">
        <v>38</v>
      </c>
      <c r="J42" s="77" t="s">
        <v>28</v>
      </c>
      <c r="K42" s="77" t="s">
        <v>55</v>
      </c>
      <c r="L42" s="77">
        <f ca="1">IF(C42="Cargo Liability",RANDBETWEEN(10000,80000),IF(C42="Collision Liability",RANDBETWEEN(20000,100000),IF(C42="Environmental Pollution",RANDBETWEEN(50000,120000),IF(C42="Damage to Other Vessels",RANDBETWEEN(15000,90000),IF(C42="Injury to Third Parties",RANDBETWEEN(5000,60000))))))</f>
        <v>107882</v>
      </c>
      <c r="M42" s="77">
        <v>2</v>
      </c>
      <c r="N42" s="77">
        <f>IF(YEAR(B42)=2023, 1.03,
   IF(YEAR(B42)=2022, 1.0506,
   IF(YEAR(B42)=2021, 1.071612,
   IF(YEAR(B42)=2020, 1.10376036,
   IF(YEAR(B42)=2019, 1.1479107744,
   IF(YEAR(B42)=2018, 1.20530631312, 1))))))</f>
        <v>1.071612</v>
      </c>
      <c r="O42" s="22">
        <f t="shared" si="1"/>
        <v>589258.52093375998</v>
      </c>
      <c r="P42" s="22">
        <f t="shared" si="2"/>
        <v>563365.25093375996</v>
      </c>
      <c r="Q42" s="24">
        <f t="shared" si="3"/>
        <v>563365.25093375996</v>
      </c>
      <c r="R42" s="67">
        <f t="shared" si="4"/>
        <v>1</v>
      </c>
      <c r="S42" s="77">
        <f>YEAR(B42)</f>
        <v>2021</v>
      </c>
    </row>
    <row r="43" spans="1:19">
      <c r="A43" s="77" t="s">
        <v>97</v>
      </c>
      <c r="B43" s="1">
        <v>44985</v>
      </c>
      <c r="C43" s="77" t="s">
        <v>26</v>
      </c>
      <c r="D43" s="3">
        <v>392873.65</v>
      </c>
      <c r="E43" s="77" t="s">
        <v>21</v>
      </c>
      <c r="F43" s="21">
        <f t="shared" si="0"/>
        <v>424721.10000000003</v>
      </c>
      <c r="G43" s="70">
        <v>2000000</v>
      </c>
      <c r="H43" s="3">
        <v>31847.45</v>
      </c>
      <c r="I43" s="77" t="s">
        <v>27</v>
      </c>
      <c r="J43" s="77" t="s">
        <v>33</v>
      </c>
      <c r="K43" s="77" t="s">
        <v>29</v>
      </c>
      <c r="L43" s="77">
        <f ca="1">IF(C43="Cargo Liability",RANDBETWEEN(10000,80000),IF(C43="Collision Liability",RANDBETWEEN(20000,100000),IF(C43="Environmental Pollution",RANDBETWEEN(50000,120000),IF(C43="Damage to Other Vessels",RANDBETWEEN(15000,90000),IF(C43="Injury to Third Parties",RANDBETWEEN(5000,60000))))))</f>
        <v>20399</v>
      </c>
      <c r="M43" s="77">
        <v>5</v>
      </c>
      <c r="N43" s="77">
        <f>IF(YEAR(B43)=2023, 1.03,
   IF(YEAR(B43)=2022, 1.0506,
   IF(YEAR(B43)=2021, 1.071612,
   IF(YEAR(B43)=2020, 1.10376036,
   IF(YEAR(B43)=2019, 1.1479107744,
   IF(YEAR(B43)=2018, 1.20530631312, 1))))))</f>
        <v>1.03</v>
      </c>
      <c r="O43" s="22">
        <f t="shared" si="1"/>
        <v>437462.73300000007</v>
      </c>
      <c r="P43" s="22">
        <f t="shared" si="2"/>
        <v>405615.28300000005</v>
      </c>
      <c r="Q43" s="24">
        <f t="shared" si="3"/>
        <v>405615.28300000005</v>
      </c>
      <c r="R43" s="67">
        <f t="shared" si="4"/>
        <v>1</v>
      </c>
      <c r="S43" s="77">
        <f>YEAR(B43)</f>
        <v>2023</v>
      </c>
    </row>
    <row r="44" spans="1:19">
      <c r="A44" s="77" t="s">
        <v>98</v>
      </c>
      <c r="B44" s="1">
        <v>44033</v>
      </c>
      <c r="C44" s="77" t="s">
        <v>42</v>
      </c>
      <c r="D44" s="3">
        <v>539278.54</v>
      </c>
      <c r="E44" s="77" t="s">
        <v>21</v>
      </c>
      <c r="F44" s="21">
        <f t="shared" si="0"/>
        <v>557573.29</v>
      </c>
      <c r="G44" s="70">
        <v>5000000</v>
      </c>
      <c r="H44" s="3">
        <v>18294.75</v>
      </c>
      <c r="I44" s="77" t="s">
        <v>22</v>
      </c>
      <c r="J44" s="77" t="s">
        <v>39</v>
      </c>
      <c r="K44" s="77" t="s">
        <v>69</v>
      </c>
      <c r="L44" s="77">
        <f ca="1">IF(C44="Cargo Liability",RANDBETWEEN(10000,80000),IF(C44="Collision Liability",RANDBETWEEN(20000,100000),IF(C44="Environmental Pollution",RANDBETWEEN(50000,120000),IF(C44="Damage to Other Vessels",RANDBETWEEN(15000,90000),IF(C44="Injury to Third Parties",RANDBETWEEN(5000,60000))))))</f>
        <v>54393</v>
      </c>
      <c r="M44" s="77">
        <v>3</v>
      </c>
      <c r="N44" s="77">
        <f>IF(YEAR(B44)=2023, 1.03,
   IF(YEAR(B44)=2022, 1.0506,
   IF(YEAR(B44)=2021, 1.071612,
   IF(YEAR(B44)=2020, 1.10376036,
   IF(YEAR(B44)=2019, 1.1479107744,
   IF(YEAR(B44)=2018, 1.20530631312, 1))))))</f>
        <v>1.1037603600000001</v>
      </c>
      <c r="O44" s="22">
        <f t="shared" si="1"/>
        <v>615427.29529678449</v>
      </c>
      <c r="P44" s="22">
        <f t="shared" si="2"/>
        <v>597132.54529678449</v>
      </c>
      <c r="Q44" s="24">
        <f t="shared" si="3"/>
        <v>597132.54529678449</v>
      </c>
      <c r="R44" s="67">
        <f t="shared" si="4"/>
        <v>1</v>
      </c>
      <c r="S44" s="77">
        <f>YEAR(B44)</f>
        <v>2020</v>
      </c>
    </row>
    <row r="45" spans="1:19">
      <c r="A45" s="77" t="s">
        <v>99</v>
      </c>
      <c r="B45" s="1">
        <v>43178</v>
      </c>
      <c r="C45" s="77" t="s">
        <v>20</v>
      </c>
      <c r="D45" s="3">
        <v>283973.44</v>
      </c>
      <c r="E45" s="77" t="s">
        <v>37</v>
      </c>
      <c r="F45" s="21">
        <f t="shared" si="0"/>
        <v>300456.98</v>
      </c>
      <c r="G45" s="70">
        <v>2000000</v>
      </c>
      <c r="H45" s="3">
        <v>16483.54</v>
      </c>
      <c r="I45" s="77" t="s">
        <v>22</v>
      </c>
      <c r="J45" s="77" t="s">
        <v>23</v>
      </c>
      <c r="K45" s="77" t="s">
        <v>24</v>
      </c>
      <c r="L45" s="77">
        <f ca="1">IF(C45="Cargo Liability",RANDBETWEEN(10000,80000),IF(C45="Collision Liability",RANDBETWEEN(20000,100000),IF(C45="Environmental Pollution",RANDBETWEEN(50000,120000),IF(C45="Damage to Other Vessels",RANDBETWEEN(15000,90000),IF(C45="Injury to Third Parties",RANDBETWEEN(5000,60000))))))</f>
        <v>69835</v>
      </c>
      <c r="M45" s="77">
        <v>4</v>
      </c>
      <c r="N45" s="77">
        <f>IF(YEAR(B45)=2023, 1.03,
   IF(YEAR(B45)=2022, 1.0506,
   IF(YEAR(B45)=2021, 1.071612,
   IF(YEAR(B45)=2020, 1.10376036,
   IF(YEAR(B45)=2019, 1.1479107744,
   IF(YEAR(B45)=2018, 1.20530631312, 1))))))</f>
        <v>1.2053063131199999</v>
      </c>
      <c r="O45" s="22">
        <f t="shared" si="1"/>
        <v>362142.69481496955</v>
      </c>
      <c r="P45" s="22">
        <f t="shared" si="2"/>
        <v>345659.15481496957</v>
      </c>
      <c r="Q45" s="24">
        <f t="shared" si="3"/>
        <v>345659.15481496957</v>
      </c>
      <c r="R45" s="67">
        <f t="shared" si="4"/>
        <v>1</v>
      </c>
      <c r="S45" s="77">
        <f>YEAR(B45)</f>
        <v>2018</v>
      </c>
    </row>
    <row r="46" spans="1:19">
      <c r="A46" s="77" t="s">
        <v>100</v>
      </c>
      <c r="B46" s="1">
        <v>44738</v>
      </c>
      <c r="C46" s="77" t="s">
        <v>31</v>
      </c>
      <c r="D46" s="3">
        <v>482839.65</v>
      </c>
      <c r="E46" s="77" t="s">
        <v>21</v>
      </c>
      <c r="F46" s="21">
        <f t="shared" si="0"/>
        <v>518138.29000000004</v>
      </c>
      <c r="G46" s="70">
        <v>5000000</v>
      </c>
      <c r="H46" s="3">
        <v>35298.639999999999</v>
      </c>
      <c r="I46" s="77" t="s">
        <v>32</v>
      </c>
      <c r="J46" s="77" t="s">
        <v>48</v>
      </c>
      <c r="K46" s="77" t="s">
        <v>57</v>
      </c>
      <c r="L46" s="77">
        <f ca="1">IF(C46="Cargo Liability",RANDBETWEEN(10000,80000),IF(C46="Collision Liability",RANDBETWEEN(20000,100000),IF(C46="Environmental Pollution",RANDBETWEEN(50000,120000),IF(C46="Damage to Other Vessels",RANDBETWEEN(15000,90000),IF(C46="Injury to Third Parties",RANDBETWEEN(5000,60000))))))</f>
        <v>59032</v>
      </c>
      <c r="M46" s="77">
        <v>1</v>
      </c>
      <c r="N46" s="77">
        <f>IF(YEAR(B46)=2023, 1.03,
   IF(YEAR(B46)=2022, 1.0506,
   IF(YEAR(B46)=2021, 1.071612,
   IF(YEAR(B46)=2020, 1.10376036,
   IF(YEAR(B46)=2019, 1.1479107744,
   IF(YEAR(B46)=2018, 1.20530631312, 1))))))</f>
        <v>1.0506</v>
      </c>
      <c r="O46" s="22">
        <f t="shared" si="1"/>
        <v>544356.08747400006</v>
      </c>
      <c r="P46" s="22">
        <f t="shared" si="2"/>
        <v>509057.44747400004</v>
      </c>
      <c r="Q46" s="24">
        <f t="shared" si="3"/>
        <v>509057.44747400004</v>
      </c>
      <c r="R46" s="67">
        <f t="shared" si="4"/>
        <v>1</v>
      </c>
      <c r="S46" s="77">
        <f>YEAR(B46)</f>
        <v>2022</v>
      </c>
    </row>
    <row r="47" spans="1:19">
      <c r="A47" s="77" t="s">
        <v>101</v>
      </c>
      <c r="B47" s="1">
        <v>44472</v>
      </c>
      <c r="C47" s="77" t="s">
        <v>36</v>
      </c>
      <c r="D47" s="3">
        <v>683482.94</v>
      </c>
      <c r="E47" s="77" t="s">
        <v>43</v>
      </c>
      <c r="F47" s="21">
        <f t="shared" si="0"/>
        <v>716430.78999999992</v>
      </c>
      <c r="G47" s="70">
        <v>5000000</v>
      </c>
      <c r="H47" s="3">
        <v>32947.85</v>
      </c>
      <c r="I47" s="77" t="s">
        <v>38</v>
      </c>
      <c r="J47" s="77" t="s">
        <v>28</v>
      </c>
      <c r="K47" s="77" t="s">
        <v>46</v>
      </c>
      <c r="L47" s="77">
        <f ca="1">IF(C47="Cargo Liability",RANDBETWEEN(10000,80000),IF(C47="Collision Liability",RANDBETWEEN(20000,100000),IF(C47="Environmental Pollution",RANDBETWEEN(50000,120000),IF(C47="Damage to Other Vessels",RANDBETWEEN(15000,90000),IF(C47="Injury to Third Parties",RANDBETWEEN(5000,60000))))))</f>
        <v>79029</v>
      </c>
      <c r="M47" s="77">
        <v>6</v>
      </c>
      <c r="N47" s="77">
        <f>IF(YEAR(B47)=2023, 1.03,
   IF(YEAR(B47)=2022, 1.0506,
   IF(YEAR(B47)=2021, 1.071612,
   IF(YEAR(B47)=2020, 1.10376036,
   IF(YEAR(B47)=2019, 1.1479107744,
   IF(YEAR(B47)=2018, 1.20530631312, 1))))))</f>
        <v>1.071612</v>
      </c>
      <c r="O47" s="22">
        <f t="shared" si="1"/>
        <v>767735.83173347998</v>
      </c>
      <c r="P47" s="22">
        <f t="shared" si="2"/>
        <v>734787.98173348</v>
      </c>
      <c r="Q47" s="24">
        <f t="shared" si="3"/>
        <v>734787.98173348</v>
      </c>
      <c r="R47" s="67">
        <f t="shared" si="4"/>
        <v>1</v>
      </c>
      <c r="S47" s="77">
        <f>YEAR(B47)</f>
        <v>2021</v>
      </c>
    </row>
    <row r="48" spans="1:19">
      <c r="A48" s="77" t="s">
        <v>102</v>
      </c>
      <c r="B48" s="1">
        <v>43847</v>
      </c>
      <c r="C48" s="77" t="s">
        <v>26</v>
      </c>
      <c r="D48" s="3">
        <v>783948.23</v>
      </c>
      <c r="E48" s="77" t="s">
        <v>21</v>
      </c>
      <c r="F48" s="21">
        <f t="shared" si="0"/>
        <v>813530.62</v>
      </c>
      <c r="G48" s="70">
        <v>5000000</v>
      </c>
      <c r="H48" s="3">
        <v>29582.39</v>
      </c>
      <c r="I48" s="77" t="s">
        <v>27</v>
      </c>
      <c r="J48" s="77" t="s">
        <v>33</v>
      </c>
      <c r="K48" s="77" t="s">
        <v>65</v>
      </c>
      <c r="L48" s="77">
        <f ca="1">IF(C48="Cargo Liability",RANDBETWEEN(10000,80000),IF(C48="Collision Liability",RANDBETWEEN(20000,100000),IF(C48="Environmental Pollution",RANDBETWEEN(50000,120000),IF(C48="Damage to Other Vessels",RANDBETWEEN(15000,90000),IF(C48="Injury to Third Parties",RANDBETWEEN(5000,60000))))))</f>
        <v>38359</v>
      </c>
      <c r="M48" s="77">
        <v>2</v>
      </c>
      <c r="N48" s="77">
        <f>IF(YEAR(B48)=2023, 1.03,
   IF(YEAR(B48)=2022, 1.0506,
   IF(YEAR(B48)=2021, 1.071612,
   IF(YEAR(B48)=2020, 1.10376036,
   IF(YEAR(B48)=2019, 1.1479107744,
   IF(YEAR(B48)=2018, 1.20530631312, 1))))))</f>
        <v>1.1037603600000001</v>
      </c>
      <c r="O48" s="22">
        <f t="shared" si="1"/>
        <v>897942.85000222328</v>
      </c>
      <c r="P48" s="22">
        <f t="shared" si="2"/>
        <v>868360.46000222326</v>
      </c>
      <c r="Q48" s="24">
        <f t="shared" si="3"/>
        <v>868360.46000222326</v>
      </c>
      <c r="R48" s="67">
        <f t="shared" si="4"/>
        <v>1</v>
      </c>
      <c r="S48" s="77">
        <f>YEAR(B48)</f>
        <v>2020</v>
      </c>
    </row>
    <row r="49" spans="1:19">
      <c r="A49" s="77" t="s">
        <v>103</v>
      </c>
      <c r="B49" s="1">
        <v>43560</v>
      </c>
      <c r="C49" s="77" t="s">
        <v>42</v>
      </c>
      <c r="D49" s="3">
        <v>239582.74</v>
      </c>
      <c r="E49" s="77" t="s">
        <v>21</v>
      </c>
      <c r="F49" s="21">
        <f t="shared" si="0"/>
        <v>260976.97</v>
      </c>
      <c r="G49" s="70">
        <v>1000000</v>
      </c>
      <c r="H49" s="3">
        <v>21394.23</v>
      </c>
      <c r="I49" s="77" t="s">
        <v>22</v>
      </c>
      <c r="J49" s="77" t="s">
        <v>23</v>
      </c>
      <c r="K49" s="77" t="s">
        <v>34</v>
      </c>
      <c r="L49" s="77">
        <f ca="1">IF(C49="Cargo Liability",RANDBETWEEN(10000,80000),IF(C49="Collision Liability",RANDBETWEEN(20000,100000),IF(C49="Environmental Pollution",RANDBETWEEN(50000,120000),IF(C49="Damage to Other Vessels",RANDBETWEEN(15000,90000),IF(C49="Injury to Third Parties",RANDBETWEEN(5000,60000))))))</f>
        <v>34986</v>
      </c>
      <c r="M49" s="77">
        <v>7</v>
      </c>
      <c r="N49" s="77">
        <f>IF(YEAR(B49)=2023, 1.03,
   IF(YEAR(B49)=2022, 1.0506,
   IF(YEAR(B49)=2021, 1.071612,
   IF(YEAR(B49)=2020, 1.10376036,
   IF(YEAR(B49)=2019, 1.1479107744,
   IF(YEAR(B49)=2018, 1.20530631312, 1))))))</f>
        <v>1.1479107743999999</v>
      </c>
      <c r="O49" s="22">
        <f t="shared" si="1"/>
        <v>299578.27573326556</v>
      </c>
      <c r="P49" s="22">
        <f t="shared" si="2"/>
        <v>278184.04573326558</v>
      </c>
      <c r="Q49" s="24">
        <f t="shared" si="3"/>
        <v>278184.04573326558</v>
      </c>
      <c r="R49" s="67">
        <f t="shared" si="4"/>
        <v>1</v>
      </c>
      <c r="S49" s="77">
        <f>YEAR(B49)</f>
        <v>2019</v>
      </c>
    </row>
    <row r="50" spans="1:19">
      <c r="A50" s="77" t="s">
        <v>104</v>
      </c>
      <c r="B50" s="1">
        <v>44916</v>
      </c>
      <c r="C50" s="77" t="s">
        <v>20</v>
      </c>
      <c r="D50" s="3">
        <v>294738.48</v>
      </c>
      <c r="E50" s="77" t="s">
        <v>21</v>
      </c>
      <c r="F50" s="21">
        <f t="shared" si="0"/>
        <v>313686.01</v>
      </c>
      <c r="G50" s="70">
        <v>2000000</v>
      </c>
      <c r="H50" s="3">
        <v>18947.53</v>
      </c>
      <c r="I50" s="77" t="s">
        <v>27</v>
      </c>
      <c r="J50" s="77" t="s">
        <v>48</v>
      </c>
      <c r="K50" s="77" t="s">
        <v>53</v>
      </c>
      <c r="L50" s="77">
        <f ca="1">IF(C50="Cargo Liability",RANDBETWEEN(10000,80000),IF(C50="Collision Liability",RANDBETWEEN(20000,100000),IF(C50="Environmental Pollution",RANDBETWEEN(50000,120000),IF(C50="Damage to Other Vessels",RANDBETWEEN(15000,90000),IF(C50="Injury to Third Parties",RANDBETWEEN(5000,60000))))))</f>
        <v>55195</v>
      </c>
      <c r="M50" s="77">
        <v>4</v>
      </c>
      <c r="N50" s="77">
        <f>IF(YEAR(B50)=2023, 1.03,
   IF(YEAR(B50)=2022, 1.0506,
   IF(YEAR(B50)=2021, 1.071612,
   IF(YEAR(B50)=2020, 1.10376036,
   IF(YEAR(B50)=2019, 1.1479107744,
   IF(YEAR(B50)=2018, 1.20530631312, 1))))))</f>
        <v>1.0506</v>
      </c>
      <c r="O50" s="22">
        <f t="shared" si="1"/>
        <v>329558.52210599999</v>
      </c>
      <c r="P50" s="22">
        <f t="shared" si="2"/>
        <v>310610.99210599996</v>
      </c>
      <c r="Q50" s="24">
        <f t="shared" si="3"/>
        <v>310610.99210599996</v>
      </c>
      <c r="R50" s="67">
        <f t="shared" si="4"/>
        <v>1</v>
      </c>
      <c r="S50" s="77">
        <f>YEAR(B50)</f>
        <v>2022</v>
      </c>
    </row>
    <row r="51" spans="1:19">
      <c r="A51" s="77" t="s">
        <v>105</v>
      </c>
      <c r="B51" s="1">
        <v>44230</v>
      </c>
      <c r="C51" s="77" t="s">
        <v>31</v>
      </c>
      <c r="D51" s="3">
        <v>583948.29</v>
      </c>
      <c r="E51" s="77" t="s">
        <v>21</v>
      </c>
      <c r="F51" s="21">
        <f t="shared" si="0"/>
        <v>613232.67000000004</v>
      </c>
      <c r="G51" s="70">
        <v>5000000</v>
      </c>
      <c r="H51" s="3">
        <v>29284.38</v>
      </c>
      <c r="I51" s="77" t="s">
        <v>32</v>
      </c>
      <c r="J51" s="77" t="s">
        <v>39</v>
      </c>
      <c r="K51" s="77" t="s">
        <v>61</v>
      </c>
      <c r="L51" s="77">
        <f ca="1">IF(C51="Cargo Liability",RANDBETWEEN(10000,80000),IF(C51="Collision Liability",RANDBETWEEN(20000,100000),IF(C51="Environmental Pollution",RANDBETWEEN(50000,120000),IF(C51="Damage to Other Vessels",RANDBETWEEN(15000,90000),IF(C51="Injury to Third Parties",RANDBETWEEN(5000,60000))))))</f>
        <v>63426</v>
      </c>
      <c r="M51" s="77">
        <v>9</v>
      </c>
      <c r="N51" s="77">
        <f>IF(YEAR(B51)=2023, 1.03,
   IF(YEAR(B51)=2022, 1.0506,
   IF(YEAR(B51)=2021, 1.071612,
   IF(YEAR(B51)=2020, 1.10376036,
   IF(YEAR(B51)=2019, 1.1479107744,
   IF(YEAR(B51)=2018, 1.20530631312, 1))))))</f>
        <v>1.071612</v>
      </c>
      <c r="O51" s="22">
        <f t="shared" si="1"/>
        <v>657147.48796404002</v>
      </c>
      <c r="P51" s="22">
        <f t="shared" si="2"/>
        <v>627863.10796404001</v>
      </c>
      <c r="Q51" s="24">
        <f t="shared" si="3"/>
        <v>627863.10796404001</v>
      </c>
      <c r="R51" s="67">
        <f t="shared" si="4"/>
        <v>1</v>
      </c>
      <c r="S51" s="77">
        <f>YEAR(B51)</f>
        <v>2021</v>
      </c>
    </row>
    <row r="52" spans="1:19">
      <c r="A52" s="77" t="s">
        <v>106</v>
      </c>
      <c r="B52" s="1">
        <v>43902</v>
      </c>
      <c r="C52" s="77" t="s">
        <v>36</v>
      </c>
      <c r="D52" s="3">
        <v>784839.21</v>
      </c>
      <c r="E52" s="77" t="s">
        <v>37</v>
      </c>
      <c r="F52" s="21">
        <f t="shared" si="0"/>
        <v>823786.49</v>
      </c>
      <c r="G52" s="70">
        <v>5000000</v>
      </c>
      <c r="H52" s="3">
        <v>38947.279999999999</v>
      </c>
      <c r="I52" s="77" t="s">
        <v>38</v>
      </c>
      <c r="J52" s="77" t="s">
        <v>28</v>
      </c>
      <c r="K52" s="77" t="s">
        <v>51</v>
      </c>
      <c r="L52" s="77">
        <f ca="1">IF(C52="Cargo Liability",RANDBETWEEN(10000,80000),IF(C52="Collision Liability",RANDBETWEEN(20000,100000),IF(C52="Environmental Pollution",RANDBETWEEN(50000,120000),IF(C52="Damage to Other Vessels",RANDBETWEEN(15000,90000),IF(C52="Injury to Third Parties",RANDBETWEEN(5000,60000))))))</f>
        <v>82270</v>
      </c>
      <c r="M52" s="77">
        <v>3</v>
      </c>
      <c r="N52" s="77">
        <f>IF(YEAR(B52)=2023, 1.03,
   IF(YEAR(B52)=2022, 1.0506,
   IF(YEAR(B52)=2021, 1.071612,
   IF(YEAR(B52)=2020, 1.10376036,
   IF(YEAR(B52)=2019, 1.1479107744,
   IF(YEAR(B52)=2018, 1.20530631312, 1))))))</f>
        <v>1.1037603600000001</v>
      </c>
      <c r="O52" s="22">
        <f t="shared" si="1"/>
        <v>909262.87276553642</v>
      </c>
      <c r="P52" s="22">
        <f t="shared" si="2"/>
        <v>870315.59276553639</v>
      </c>
      <c r="Q52" s="24">
        <f t="shared" si="3"/>
        <v>870315.59276553639</v>
      </c>
      <c r="R52" s="67">
        <f t="shared" si="4"/>
        <v>1</v>
      </c>
      <c r="S52" s="77">
        <f>YEAR(B52)</f>
        <v>2020</v>
      </c>
    </row>
    <row r="53" spans="1:19">
      <c r="A53" s="77" t="s">
        <v>107</v>
      </c>
      <c r="B53" s="1">
        <v>45115</v>
      </c>
      <c r="C53" s="77" t="s">
        <v>26</v>
      </c>
      <c r="D53" s="3">
        <v>398483.65</v>
      </c>
      <c r="E53" s="77" t="s">
        <v>21</v>
      </c>
      <c r="F53" s="21">
        <f t="shared" si="0"/>
        <v>427431.03</v>
      </c>
      <c r="G53" s="70">
        <v>2000000</v>
      </c>
      <c r="H53" s="3">
        <v>28947.38</v>
      </c>
      <c r="I53" s="77" t="s">
        <v>27</v>
      </c>
      <c r="J53" s="77" t="s">
        <v>33</v>
      </c>
      <c r="K53" s="77" t="s">
        <v>49</v>
      </c>
      <c r="L53" s="77">
        <f ca="1">IF(C53="Cargo Liability",RANDBETWEEN(10000,80000),IF(C53="Collision Liability",RANDBETWEEN(20000,100000),IF(C53="Environmental Pollution",RANDBETWEEN(50000,120000),IF(C53="Damage to Other Vessels",RANDBETWEEN(15000,90000),IF(C53="Injury to Third Parties",RANDBETWEEN(5000,60000))))))</f>
        <v>48420</v>
      </c>
      <c r="M53" s="77">
        <v>6</v>
      </c>
      <c r="N53" s="77">
        <f>IF(YEAR(B53)=2023, 1.03,
   IF(YEAR(B53)=2022, 1.0506,
   IF(YEAR(B53)=2021, 1.071612,
   IF(YEAR(B53)=2020, 1.10376036,
   IF(YEAR(B53)=2019, 1.1479107744,
   IF(YEAR(B53)=2018, 1.20530631312, 1))))))</f>
        <v>1.03</v>
      </c>
      <c r="O53" s="22">
        <f t="shared" si="1"/>
        <v>440253.96090000006</v>
      </c>
      <c r="P53" s="22">
        <f t="shared" si="2"/>
        <v>411306.58090000006</v>
      </c>
      <c r="Q53" s="24">
        <f t="shared" si="3"/>
        <v>411306.58090000006</v>
      </c>
      <c r="R53" s="67">
        <f t="shared" si="4"/>
        <v>1</v>
      </c>
      <c r="S53" s="77">
        <f>YEAR(B53)</f>
        <v>2023</v>
      </c>
    </row>
    <row r="54" spans="1:19">
      <c r="A54" s="77" t="s">
        <v>108</v>
      </c>
      <c r="B54" s="1">
        <v>43366</v>
      </c>
      <c r="C54" s="77" t="s">
        <v>42</v>
      </c>
      <c r="D54" s="3">
        <v>485739.23</v>
      </c>
      <c r="E54" s="77" t="s">
        <v>21</v>
      </c>
      <c r="F54" s="21">
        <f t="shared" si="0"/>
        <v>503135.07</v>
      </c>
      <c r="G54" s="70">
        <v>5000000</v>
      </c>
      <c r="H54" s="3">
        <v>17395.84</v>
      </c>
      <c r="I54" s="77" t="s">
        <v>22</v>
      </c>
      <c r="J54" s="77" t="s">
        <v>48</v>
      </c>
      <c r="K54" s="77" t="s">
        <v>40</v>
      </c>
      <c r="L54" s="77">
        <f ca="1">IF(C54="Cargo Liability",RANDBETWEEN(10000,80000),IF(C54="Collision Liability",RANDBETWEEN(20000,100000),IF(C54="Environmental Pollution",RANDBETWEEN(50000,120000),IF(C54="Damage to Other Vessels",RANDBETWEEN(15000,90000),IF(C54="Injury to Third Parties",RANDBETWEEN(5000,60000))))))</f>
        <v>39989</v>
      </c>
      <c r="M54" s="77">
        <v>8</v>
      </c>
      <c r="N54" s="77">
        <f>IF(YEAR(B54)=2023, 1.03,
   IF(YEAR(B54)=2022, 1.0506,
   IF(YEAR(B54)=2021, 1.071612,
   IF(YEAR(B54)=2020, 1.10376036,
   IF(YEAR(B54)=2019, 1.1479107744,
   IF(YEAR(B54)=2018, 1.20530631312, 1))))))</f>
        <v>1.2053063131199999</v>
      </c>
      <c r="O54" s="22">
        <f t="shared" si="1"/>
        <v>606431.87622307311</v>
      </c>
      <c r="P54" s="22">
        <f t="shared" si="2"/>
        <v>589036.03622307314</v>
      </c>
      <c r="Q54" s="24">
        <f t="shared" si="3"/>
        <v>589036.03622307314</v>
      </c>
      <c r="R54" s="67">
        <f t="shared" si="4"/>
        <v>1</v>
      </c>
      <c r="S54" s="77">
        <f>YEAR(B54)</f>
        <v>2018</v>
      </c>
    </row>
    <row r="55" spans="1:19">
      <c r="A55" s="77" t="s">
        <v>109</v>
      </c>
      <c r="B55" s="1">
        <v>43784</v>
      </c>
      <c r="C55" s="77" t="s">
        <v>20</v>
      </c>
      <c r="D55" s="3">
        <v>593849.48</v>
      </c>
      <c r="E55" s="77" t="s">
        <v>37</v>
      </c>
      <c r="F55" s="21">
        <f t="shared" si="0"/>
        <v>632797.05999999994</v>
      </c>
      <c r="G55" s="70">
        <v>5000000</v>
      </c>
      <c r="H55" s="3">
        <v>38947.58</v>
      </c>
      <c r="I55" s="77" t="s">
        <v>27</v>
      </c>
      <c r="J55" s="77" t="s">
        <v>23</v>
      </c>
      <c r="K55" s="77" t="s">
        <v>29</v>
      </c>
      <c r="L55" s="77">
        <f ca="1">IF(C55="Cargo Liability",RANDBETWEEN(10000,80000),IF(C55="Collision Liability",RANDBETWEEN(20000,100000),IF(C55="Environmental Pollution",RANDBETWEEN(50000,120000),IF(C55="Damage to Other Vessels",RANDBETWEEN(15000,90000),IF(C55="Injury to Third Parties",RANDBETWEEN(5000,60000))))))</f>
        <v>94045</v>
      </c>
      <c r="M55" s="77">
        <v>2</v>
      </c>
      <c r="N55" s="77">
        <f>IF(YEAR(B55)=2023, 1.03,
   IF(YEAR(B55)=2022, 1.0506,
   IF(YEAR(B55)=2021, 1.071612,
   IF(YEAR(B55)=2020, 1.10376036,
   IF(YEAR(B55)=2019, 1.1479107744,
   IF(YEAR(B55)=2018, 1.20530631312, 1))))))</f>
        <v>1.1479107743999999</v>
      </c>
      <c r="O55" s="22">
        <f t="shared" si="1"/>
        <v>726394.56318264315</v>
      </c>
      <c r="P55" s="22">
        <f t="shared" si="2"/>
        <v>687446.98318264319</v>
      </c>
      <c r="Q55" s="24">
        <f t="shared" si="3"/>
        <v>687446.98318264319</v>
      </c>
      <c r="R55" s="67">
        <f t="shared" si="4"/>
        <v>1</v>
      </c>
      <c r="S55" s="77">
        <f>YEAR(B55)</f>
        <v>2019</v>
      </c>
    </row>
    <row r="56" spans="1:19">
      <c r="A56" s="77" t="s">
        <v>110</v>
      </c>
      <c r="B56" s="1">
        <v>44785</v>
      </c>
      <c r="C56" s="77" t="s">
        <v>31</v>
      </c>
      <c r="D56" s="3">
        <v>683849.75</v>
      </c>
      <c r="E56" s="77" t="s">
        <v>21</v>
      </c>
      <c r="F56" s="21">
        <f t="shared" si="0"/>
        <v>716797.2</v>
      </c>
      <c r="G56" s="70">
        <v>5000000</v>
      </c>
      <c r="H56" s="3">
        <v>32947.449999999997</v>
      </c>
      <c r="I56" s="77" t="s">
        <v>32</v>
      </c>
      <c r="J56" s="77" t="s">
        <v>39</v>
      </c>
      <c r="K56" s="77" t="s">
        <v>57</v>
      </c>
      <c r="L56" s="77">
        <f ca="1">IF(C56="Cargo Liability",RANDBETWEEN(10000,80000),IF(C56="Collision Liability",RANDBETWEEN(20000,100000),IF(C56="Environmental Pollution",RANDBETWEEN(50000,120000),IF(C56="Damage to Other Vessels",RANDBETWEEN(15000,90000),IF(C56="Injury to Third Parties",RANDBETWEEN(5000,60000))))))</f>
        <v>17475</v>
      </c>
      <c r="M56" s="77">
        <v>3</v>
      </c>
      <c r="N56" s="77">
        <f>IF(YEAR(B56)=2023, 1.03,
   IF(YEAR(B56)=2022, 1.0506,
   IF(YEAR(B56)=2021, 1.071612,
   IF(YEAR(B56)=2020, 1.10376036,
   IF(YEAR(B56)=2019, 1.1479107744,
   IF(YEAR(B56)=2018, 1.20530631312, 1))))))</f>
        <v>1.0506</v>
      </c>
      <c r="O56" s="22">
        <f t="shared" si="1"/>
        <v>753067.13831999991</v>
      </c>
      <c r="P56" s="22">
        <f t="shared" si="2"/>
        <v>720119.68831999996</v>
      </c>
      <c r="Q56" s="24">
        <f t="shared" si="3"/>
        <v>720119.68831999996</v>
      </c>
      <c r="R56" s="67">
        <f t="shared" si="4"/>
        <v>1</v>
      </c>
      <c r="S56" s="77">
        <f>YEAR(B56)</f>
        <v>2022</v>
      </c>
    </row>
    <row r="57" spans="1:19">
      <c r="A57" s="77" t="s">
        <v>111</v>
      </c>
      <c r="B57" s="1">
        <v>44339</v>
      </c>
      <c r="C57" s="77" t="s">
        <v>36</v>
      </c>
      <c r="D57" s="3">
        <v>792483.56</v>
      </c>
      <c r="E57" s="77" t="s">
        <v>37</v>
      </c>
      <c r="F57" s="21">
        <f t="shared" si="0"/>
        <v>827431.81</v>
      </c>
      <c r="G57" s="70">
        <v>5000000</v>
      </c>
      <c r="H57" s="3">
        <v>34948.25</v>
      </c>
      <c r="I57" s="77" t="s">
        <v>38</v>
      </c>
      <c r="J57" s="77" t="s">
        <v>28</v>
      </c>
      <c r="K57" s="77" t="s">
        <v>53</v>
      </c>
      <c r="L57" s="77">
        <f ca="1">IF(C57="Cargo Liability",RANDBETWEEN(10000,80000),IF(C57="Collision Liability",RANDBETWEEN(20000,100000),IF(C57="Environmental Pollution",RANDBETWEEN(50000,120000),IF(C57="Damage to Other Vessels",RANDBETWEEN(15000,90000),IF(C57="Injury to Third Parties",RANDBETWEEN(5000,60000))))))</f>
        <v>109031</v>
      </c>
      <c r="M57" s="77">
        <v>7</v>
      </c>
      <c r="N57" s="77">
        <f>IF(YEAR(B57)=2023, 1.03,
   IF(YEAR(B57)=2022, 1.0506,
   IF(YEAR(B57)=2021, 1.071612,
   IF(YEAR(B57)=2020, 1.10376036,
   IF(YEAR(B57)=2019, 1.1479107744,
   IF(YEAR(B57)=2018, 1.20530631312, 1))))))</f>
        <v>1.071612</v>
      </c>
      <c r="O57" s="22">
        <f t="shared" si="1"/>
        <v>886685.85677772004</v>
      </c>
      <c r="P57" s="22">
        <f t="shared" si="2"/>
        <v>851737.60677772004</v>
      </c>
      <c r="Q57" s="24">
        <f t="shared" si="3"/>
        <v>851737.60677772004</v>
      </c>
      <c r="R57" s="67">
        <f t="shared" si="4"/>
        <v>1</v>
      </c>
      <c r="S57" s="77">
        <f>YEAR(B57)</f>
        <v>2021</v>
      </c>
    </row>
    <row r="58" spans="1:19">
      <c r="A58" s="77" t="s">
        <v>112</v>
      </c>
      <c r="B58" s="1">
        <v>44121</v>
      </c>
      <c r="C58" s="77" t="s">
        <v>26</v>
      </c>
      <c r="D58" s="3">
        <v>594837.93999999994</v>
      </c>
      <c r="E58" s="77" t="s">
        <v>21</v>
      </c>
      <c r="F58" s="21">
        <f t="shared" si="0"/>
        <v>623785.5</v>
      </c>
      <c r="G58" s="70">
        <v>5000000</v>
      </c>
      <c r="H58" s="3">
        <v>28947.56</v>
      </c>
      <c r="I58" s="77" t="s">
        <v>27</v>
      </c>
      <c r="J58" s="77" t="s">
        <v>33</v>
      </c>
      <c r="K58" s="77" t="s">
        <v>55</v>
      </c>
      <c r="L58" s="77">
        <f ca="1">IF(C58="Cargo Liability",RANDBETWEEN(10000,80000),IF(C58="Collision Liability",RANDBETWEEN(20000,100000),IF(C58="Environmental Pollution",RANDBETWEEN(50000,120000),IF(C58="Damage to Other Vessels",RANDBETWEEN(15000,90000),IF(C58="Injury to Third Parties",RANDBETWEEN(5000,60000))))))</f>
        <v>15237</v>
      </c>
      <c r="M58" s="77">
        <v>4</v>
      </c>
      <c r="N58" s="77">
        <f>IF(YEAR(B58)=2023, 1.03,
   IF(YEAR(B58)=2022, 1.0506,
   IF(YEAR(B58)=2021, 1.071612,
   IF(YEAR(B58)=2020, 1.10376036,
   IF(YEAR(B58)=2019, 1.1479107744,
   IF(YEAR(B58)=2018, 1.20530631312, 1))))))</f>
        <v>1.1037603600000001</v>
      </c>
      <c r="O58" s="22">
        <f t="shared" si="1"/>
        <v>688509.70804278005</v>
      </c>
      <c r="P58" s="22">
        <f t="shared" si="2"/>
        <v>659562.14804278</v>
      </c>
      <c r="Q58" s="24">
        <f t="shared" si="3"/>
        <v>659562.14804278</v>
      </c>
      <c r="R58" s="67">
        <f t="shared" si="4"/>
        <v>1</v>
      </c>
      <c r="S58" s="77">
        <f>YEAR(B58)</f>
        <v>2020</v>
      </c>
    </row>
    <row r="59" spans="1:19">
      <c r="A59" s="77" t="s">
        <v>113</v>
      </c>
      <c r="B59" s="1">
        <v>44998</v>
      </c>
      <c r="C59" s="77" t="s">
        <v>42</v>
      </c>
      <c r="D59" s="3">
        <v>472839.28</v>
      </c>
      <c r="E59" s="77" t="s">
        <v>21</v>
      </c>
      <c r="F59" s="21">
        <f t="shared" si="0"/>
        <v>494777.76</v>
      </c>
      <c r="G59" s="70">
        <v>5000000</v>
      </c>
      <c r="H59" s="3">
        <v>21938.48</v>
      </c>
      <c r="I59" s="77" t="s">
        <v>22</v>
      </c>
      <c r="J59" s="77" t="s">
        <v>48</v>
      </c>
      <c r="K59" s="77" t="s">
        <v>46</v>
      </c>
      <c r="L59" s="77">
        <f ca="1">IF(C59="Cargo Liability",RANDBETWEEN(10000,80000),IF(C59="Collision Liability",RANDBETWEEN(20000,100000),IF(C59="Environmental Pollution",RANDBETWEEN(50000,120000),IF(C59="Damage to Other Vessels",RANDBETWEEN(15000,90000),IF(C59="Injury to Third Parties",RANDBETWEEN(5000,60000))))))</f>
        <v>49477</v>
      </c>
      <c r="M59" s="77">
        <v>6</v>
      </c>
      <c r="N59" s="77">
        <f>IF(YEAR(B59)=2023, 1.03,
   IF(YEAR(B59)=2022, 1.0506,
   IF(YEAR(B59)=2021, 1.071612,
   IF(YEAR(B59)=2020, 1.10376036,
   IF(YEAR(B59)=2019, 1.1479107744,
   IF(YEAR(B59)=2018, 1.20530631312, 1))))))</f>
        <v>1.03</v>
      </c>
      <c r="O59" s="22">
        <f t="shared" si="1"/>
        <v>509621.09280000004</v>
      </c>
      <c r="P59" s="22">
        <f t="shared" si="2"/>
        <v>487682.61280000006</v>
      </c>
      <c r="Q59" s="24">
        <f t="shared" si="3"/>
        <v>487682.61280000006</v>
      </c>
      <c r="R59" s="67">
        <f t="shared" si="4"/>
        <v>1</v>
      </c>
      <c r="S59" s="77">
        <f>YEAR(B59)</f>
        <v>2023</v>
      </c>
    </row>
    <row r="60" spans="1:19">
      <c r="A60" s="77" t="s">
        <v>114</v>
      </c>
      <c r="B60" s="1">
        <v>43439</v>
      </c>
      <c r="C60" s="77" t="s">
        <v>20</v>
      </c>
      <c r="D60" s="3">
        <v>592483.44999999995</v>
      </c>
      <c r="E60" s="77" t="s">
        <v>37</v>
      </c>
      <c r="F60" s="21">
        <f t="shared" si="0"/>
        <v>625430.82999999996</v>
      </c>
      <c r="G60" s="70">
        <v>2000000</v>
      </c>
      <c r="H60" s="3">
        <v>32947.379999999997</v>
      </c>
      <c r="I60" s="77" t="s">
        <v>27</v>
      </c>
      <c r="J60" s="77" t="s">
        <v>28</v>
      </c>
      <c r="K60" s="77" t="s">
        <v>24</v>
      </c>
      <c r="L60" s="77">
        <f ca="1">IF(C60="Cargo Liability",RANDBETWEEN(10000,80000),IF(C60="Collision Liability",RANDBETWEEN(20000,100000),IF(C60="Environmental Pollution",RANDBETWEEN(50000,120000),IF(C60="Damage to Other Vessels",RANDBETWEEN(15000,90000),IF(C60="Injury to Third Parties",RANDBETWEEN(5000,60000))))))</f>
        <v>46404</v>
      </c>
      <c r="M60" s="77">
        <v>5</v>
      </c>
      <c r="N60" s="77">
        <f>IF(YEAR(B60)=2023, 1.03,
   IF(YEAR(B60)=2022, 1.0506,
   IF(YEAR(B60)=2021, 1.071612,
   IF(YEAR(B60)=2020, 1.10376036,
   IF(YEAR(B60)=2019, 1.1479107744,
   IF(YEAR(B60)=2018, 1.20530631312, 1))))))</f>
        <v>1.2053063131199999</v>
      </c>
      <c r="O60" s="22">
        <f t="shared" si="1"/>
        <v>753835.72781888139</v>
      </c>
      <c r="P60" s="22">
        <f t="shared" si="2"/>
        <v>720888.34781888139</v>
      </c>
      <c r="Q60" s="24">
        <f t="shared" si="3"/>
        <v>720888.34781888139</v>
      </c>
      <c r="R60" s="67">
        <f t="shared" si="4"/>
        <v>1</v>
      </c>
      <c r="S60" s="77">
        <f>YEAR(B60)</f>
        <v>2018</v>
      </c>
    </row>
    <row r="61" spans="1:19">
      <c r="A61" s="77" t="s">
        <v>115</v>
      </c>
      <c r="B61" s="1">
        <v>43645</v>
      </c>
      <c r="C61" s="77" t="s">
        <v>31</v>
      </c>
      <c r="D61" s="3">
        <v>839483.29</v>
      </c>
      <c r="E61" s="77" t="s">
        <v>21</v>
      </c>
      <c r="F61" s="21">
        <f t="shared" si="0"/>
        <v>877431.67</v>
      </c>
      <c r="G61" s="70">
        <v>5000000</v>
      </c>
      <c r="H61" s="3">
        <v>37948.379999999997</v>
      </c>
      <c r="I61" s="77" t="s">
        <v>32</v>
      </c>
      <c r="J61" s="77" t="s">
        <v>39</v>
      </c>
      <c r="K61" s="77" t="s">
        <v>59</v>
      </c>
      <c r="L61" s="77">
        <f ca="1">IF(C61="Cargo Liability",RANDBETWEEN(10000,80000),IF(C61="Collision Liability",RANDBETWEEN(20000,100000),IF(C61="Environmental Pollution",RANDBETWEEN(50000,120000),IF(C61="Damage to Other Vessels",RANDBETWEEN(15000,90000),IF(C61="Injury to Third Parties",RANDBETWEEN(5000,60000))))))</f>
        <v>85612</v>
      </c>
      <c r="M61" s="77">
        <v>3</v>
      </c>
      <c r="N61" s="77">
        <f>IF(YEAR(B61)=2023, 1.03,
   IF(YEAR(B61)=2022, 1.0506,
   IF(YEAR(B61)=2021, 1.071612,
   IF(YEAR(B61)=2020, 1.10376036,
   IF(YEAR(B61)=2019, 1.1479107744,
   IF(YEAR(B61)=2018, 1.20530631312, 1))))))</f>
        <v>1.1479107743999999</v>
      </c>
      <c r="O61" s="22">
        <f t="shared" si="1"/>
        <v>1007213.2677927852</v>
      </c>
      <c r="P61" s="22">
        <f t="shared" si="2"/>
        <v>969264.88779278519</v>
      </c>
      <c r="Q61" s="24">
        <f t="shared" si="3"/>
        <v>969264.88779278519</v>
      </c>
      <c r="R61" s="67">
        <f t="shared" si="4"/>
        <v>1</v>
      </c>
      <c r="S61" s="77">
        <f>YEAR(B61)</f>
        <v>2019</v>
      </c>
    </row>
    <row r="62" spans="1:19">
      <c r="A62" s="77" t="s">
        <v>116</v>
      </c>
      <c r="B62" s="1">
        <v>44821</v>
      </c>
      <c r="C62" s="77" t="s">
        <v>36</v>
      </c>
      <c r="D62" s="3">
        <v>839483.58</v>
      </c>
      <c r="E62" s="77" t="s">
        <v>37</v>
      </c>
      <c r="F62" s="21">
        <f t="shared" si="0"/>
        <v>878431.02999999991</v>
      </c>
      <c r="G62" s="70">
        <v>5000000</v>
      </c>
      <c r="H62" s="3">
        <v>38947.449999999997</v>
      </c>
      <c r="I62" s="77" t="s">
        <v>38</v>
      </c>
      <c r="J62" s="77" t="s">
        <v>48</v>
      </c>
      <c r="K62" s="77" t="s">
        <v>49</v>
      </c>
      <c r="L62" s="77">
        <f ca="1">IF(C62="Cargo Liability",RANDBETWEEN(10000,80000),IF(C62="Collision Liability",RANDBETWEEN(20000,100000),IF(C62="Environmental Pollution",RANDBETWEEN(50000,120000),IF(C62="Damage to Other Vessels",RANDBETWEEN(15000,90000),IF(C62="Injury to Third Parties",RANDBETWEEN(5000,60000))))))</f>
        <v>86490</v>
      </c>
      <c r="M62" s="77">
        <v>4</v>
      </c>
      <c r="N62" s="77">
        <f>IF(YEAR(B62)=2023, 1.03,
   IF(YEAR(B62)=2022, 1.0506,
   IF(YEAR(B62)=2021, 1.071612,
   IF(YEAR(B62)=2020, 1.10376036,
   IF(YEAR(B62)=2019, 1.1479107744,
   IF(YEAR(B62)=2018, 1.20530631312, 1))))))</f>
        <v>1.0506</v>
      </c>
      <c r="O62" s="22">
        <f t="shared" si="1"/>
        <v>922879.64011799986</v>
      </c>
      <c r="P62" s="22">
        <f t="shared" si="2"/>
        <v>883932.19011799991</v>
      </c>
      <c r="Q62" s="24">
        <f t="shared" si="3"/>
        <v>883932.19011799991</v>
      </c>
      <c r="R62" s="67">
        <f t="shared" si="4"/>
        <v>1</v>
      </c>
      <c r="S62" s="77">
        <f>YEAR(B62)</f>
        <v>2022</v>
      </c>
    </row>
    <row r="63" spans="1:19">
      <c r="A63" s="77" t="s">
        <v>117</v>
      </c>
      <c r="B63" s="1">
        <v>44207</v>
      </c>
      <c r="C63" s="77" t="s">
        <v>26</v>
      </c>
      <c r="D63" s="3">
        <v>793849.23</v>
      </c>
      <c r="E63" s="77" t="s">
        <v>21</v>
      </c>
      <c r="F63" s="21">
        <f t="shared" si="0"/>
        <v>823331.71</v>
      </c>
      <c r="G63" s="70">
        <v>5000000</v>
      </c>
      <c r="H63" s="3">
        <v>29482.48</v>
      </c>
      <c r="I63" s="77" t="s">
        <v>27</v>
      </c>
      <c r="J63" s="77" t="s">
        <v>33</v>
      </c>
      <c r="K63" s="77" t="s">
        <v>61</v>
      </c>
      <c r="L63" s="77">
        <f ca="1">IF(C63="Cargo Liability",RANDBETWEEN(10000,80000),IF(C63="Collision Liability",RANDBETWEEN(20000,100000),IF(C63="Environmental Pollution",RANDBETWEEN(50000,120000),IF(C63="Damage to Other Vessels",RANDBETWEEN(15000,90000),IF(C63="Injury to Third Parties",RANDBETWEEN(5000,60000))))))</f>
        <v>27873</v>
      </c>
      <c r="M63" s="77">
        <v>7</v>
      </c>
      <c r="N63" s="77">
        <f>IF(YEAR(B63)=2023, 1.03,
   IF(YEAR(B63)=2022, 1.0506,
   IF(YEAR(B63)=2021, 1.071612,
   IF(YEAR(B63)=2020, 1.10376036,
   IF(YEAR(B63)=2019, 1.1479107744,
   IF(YEAR(B63)=2018, 1.20530631312, 1))))))</f>
        <v>1.071612</v>
      </c>
      <c r="O63" s="22">
        <f t="shared" si="1"/>
        <v>882292.14041651995</v>
      </c>
      <c r="P63" s="22">
        <f t="shared" si="2"/>
        <v>852809.66041651997</v>
      </c>
      <c r="Q63" s="24">
        <f t="shared" si="3"/>
        <v>852809.66041651997</v>
      </c>
      <c r="R63" s="67">
        <f t="shared" si="4"/>
        <v>1</v>
      </c>
      <c r="S63" s="77">
        <f>YEAR(B63)</f>
        <v>2021</v>
      </c>
    </row>
    <row r="64" spans="1:19">
      <c r="A64" s="77" t="s">
        <v>118</v>
      </c>
      <c r="B64" s="1">
        <v>43946</v>
      </c>
      <c r="C64" s="77" t="s">
        <v>42</v>
      </c>
      <c r="D64" s="3">
        <v>473839.25</v>
      </c>
      <c r="E64" s="77" t="s">
        <v>21</v>
      </c>
      <c r="F64" s="21">
        <f t="shared" si="0"/>
        <v>501321.63</v>
      </c>
      <c r="G64" s="70">
        <v>5000000</v>
      </c>
      <c r="H64" s="3">
        <v>27482.38</v>
      </c>
      <c r="I64" s="77" t="s">
        <v>22</v>
      </c>
      <c r="J64" s="77" t="s">
        <v>39</v>
      </c>
      <c r="K64" s="77" t="s">
        <v>69</v>
      </c>
      <c r="L64" s="77">
        <f ca="1">IF(C64="Cargo Liability",RANDBETWEEN(10000,80000),IF(C64="Collision Liability",RANDBETWEEN(20000,100000),IF(C64="Environmental Pollution",RANDBETWEEN(50000,120000),IF(C64="Damage to Other Vessels",RANDBETWEEN(15000,90000),IF(C64="Injury to Third Parties",RANDBETWEEN(5000,60000))))))</f>
        <v>24385</v>
      </c>
      <c r="M64" s="77">
        <v>6</v>
      </c>
      <c r="N64" s="77">
        <f>IF(YEAR(B64)=2023, 1.03,
   IF(YEAR(B64)=2022, 1.0506,
   IF(YEAR(B64)=2021, 1.071612,
   IF(YEAR(B64)=2020, 1.10376036,
   IF(YEAR(B64)=2019, 1.1479107744,
   IF(YEAR(B64)=2018, 1.20530631312, 1))))))</f>
        <v>1.1037603600000001</v>
      </c>
      <c r="O64" s="22">
        <f t="shared" si="1"/>
        <v>553338.94280458684</v>
      </c>
      <c r="P64" s="22">
        <f t="shared" si="2"/>
        <v>525856.56280458684</v>
      </c>
      <c r="Q64" s="24">
        <f t="shared" si="3"/>
        <v>525856.56280458684</v>
      </c>
      <c r="R64" s="67">
        <f t="shared" si="4"/>
        <v>1</v>
      </c>
      <c r="S64" s="77">
        <f>YEAR(B64)</f>
        <v>2020</v>
      </c>
    </row>
    <row r="65" spans="1:19">
      <c r="A65" s="77" t="s">
        <v>119</v>
      </c>
      <c r="B65" s="1">
        <v>43543</v>
      </c>
      <c r="C65" s="77" t="s">
        <v>20</v>
      </c>
      <c r="D65" s="3">
        <v>573849.48</v>
      </c>
      <c r="E65" s="77" t="s">
        <v>37</v>
      </c>
      <c r="F65" s="21">
        <f t="shared" si="0"/>
        <v>606697.05999999994</v>
      </c>
      <c r="G65" s="70">
        <v>5000000</v>
      </c>
      <c r="H65" s="3">
        <v>32847.58</v>
      </c>
      <c r="I65" s="77" t="s">
        <v>27</v>
      </c>
      <c r="J65" s="77" t="s">
        <v>23</v>
      </c>
      <c r="K65" s="77" t="s">
        <v>53</v>
      </c>
      <c r="L65" s="77">
        <f ca="1">IF(C65="Cargo Liability",RANDBETWEEN(10000,80000),IF(C65="Collision Liability",RANDBETWEEN(20000,100000),IF(C65="Environmental Pollution",RANDBETWEEN(50000,120000),IF(C65="Damage to Other Vessels",RANDBETWEEN(15000,90000),IF(C65="Injury to Third Parties",RANDBETWEEN(5000,60000))))))</f>
        <v>31752</v>
      </c>
      <c r="M65" s="77">
        <v>3</v>
      </c>
      <c r="N65" s="77">
        <f>IF(YEAR(B65)=2023, 1.03,
   IF(YEAR(B65)=2022, 1.0506,
   IF(YEAR(B65)=2021, 1.071612,
   IF(YEAR(B65)=2020, 1.10376036,
   IF(YEAR(B65)=2019, 1.1479107744,
   IF(YEAR(B65)=2018, 1.20530631312, 1))))))</f>
        <v>1.1479107743999999</v>
      </c>
      <c r="O65" s="22">
        <f t="shared" si="1"/>
        <v>696434.0919708031</v>
      </c>
      <c r="P65" s="22">
        <f t="shared" si="2"/>
        <v>663586.51197080314</v>
      </c>
      <c r="Q65" s="24">
        <f t="shared" si="3"/>
        <v>663586.51197080314</v>
      </c>
      <c r="R65" s="67">
        <f t="shared" si="4"/>
        <v>1</v>
      </c>
      <c r="S65" s="77">
        <f>YEAR(B65)</f>
        <v>2019</v>
      </c>
    </row>
    <row r="66" spans="1:19">
      <c r="A66" s="77" t="s">
        <v>120</v>
      </c>
      <c r="B66" s="1">
        <v>44959</v>
      </c>
      <c r="C66" s="77" t="s">
        <v>31</v>
      </c>
      <c r="D66" s="3">
        <v>683849.75</v>
      </c>
      <c r="E66" s="77" t="s">
        <v>21</v>
      </c>
      <c r="F66" s="21">
        <f t="shared" si="0"/>
        <v>716797.2</v>
      </c>
      <c r="G66" s="70">
        <v>5000000</v>
      </c>
      <c r="H66" s="3">
        <v>32947.449999999997</v>
      </c>
      <c r="I66" s="77" t="s">
        <v>32</v>
      </c>
      <c r="J66" s="77" t="s">
        <v>28</v>
      </c>
      <c r="K66" s="77" t="s">
        <v>67</v>
      </c>
      <c r="L66" s="77">
        <f ca="1">IF(C66="Cargo Liability",RANDBETWEEN(10000,80000),IF(C66="Collision Liability",RANDBETWEEN(20000,100000),IF(C66="Environmental Pollution",RANDBETWEEN(50000,120000),IF(C66="Damage to Other Vessels",RANDBETWEEN(15000,90000),IF(C66="Injury to Third Parties",RANDBETWEEN(5000,60000))))))</f>
        <v>58038</v>
      </c>
      <c r="M66" s="77">
        <v>2</v>
      </c>
      <c r="N66" s="77">
        <f>IF(YEAR(B66)=2023, 1.03,
   IF(YEAR(B66)=2022, 1.0506,
   IF(YEAR(B66)=2021, 1.071612,
   IF(YEAR(B66)=2020, 1.10376036,
   IF(YEAR(B66)=2019, 1.1479107744,
   IF(YEAR(B66)=2018, 1.20530631312, 1))))))</f>
        <v>1.03</v>
      </c>
      <c r="O66" s="22">
        <f t="shared" si="1"/>
        <v>738301.11599999992</v>
      </c>
      <c r="P66" s="22">
        <f t="shared" si="2"/>
        <v>705353.66599999997</v>
      </c>
      <c r="Q66" s="24">
        <f t="shared" si="3"/>
        <v>705353.66599999997</v>
      </c>
      <c r="R66" s="67">
        <f t="shared" si="4"/>
        <v>1</v>
      </c>
      <c r="S66" s="77">
        <f>YEAR(B66)</f>
        <v>2023</v>
      </c>
    </row>
    <row r="67" spans="1:19">
      <c r="A67" s="77" t="s">
        <v>121</v>
      </c>
      <c r="B67" s="1">
        <v>44753</v>
      </c>
      <c r="C67" s="77" t="s">
        <v>36</v>
      </c>
      <c r="D67" s="3">
        <v>683849.45</v>
      </c>
      <c r="E67" s="77" t="s">
        <v>37</v>
      </c>
      <c r="F67" s="21">
        <f t="shared" ref="F67:F101" si="5">SUM(D67,H67)</f>
        <v>713331.89999999991</v>
      </c>
      <c r="G67" s="70">
        <v>5000000</v>
      </c>
      <c r="H67" s="3">
        <v>29482.45</v>
      </c>
      <c r="I67" s="77" t="s">
        <v>38</v>
      </c>
      <c r="J67" s="77" t="s">
        <v>33</v>
      </c>
      <c r="K67" s="77" t="s">
        <v>57</v>
      </c>
      <c r="L67" s="77">
        <f ca="1">IF(C67="Cargo Liability",RANDBETWEEN(10000,80000),IF(C67="Collision Liability",RANDBETWEEN(20000,100000),IF(C67="Environmental Pollution",RANDBETWEEN(50000,120000),IF(C67="Damage to Other Vessels",RANDBETWEEN(15000,90000),IF(C67="Injury to Third Parties",RANDBETWEEN(5000,60000))))))</f>
        <v>62755</v>
      </c>
      <c r="M67" s="77">
        <v>4</v>
      </c>
      <c r="N67" s="77">
        <f>IF(YEAR(B67)=2023, 1.03,
   IF(YEAR(B67)=2022, 1.0506,
   IF(YEAR(B67)=2021, 1.071612,
   IF(YEAR(B67)=2020, 1.10376036,
   IF(YEAR(B67)=2019, 1.1479107744,
   IF(YEAR(B67)=2018, 1.20530631312, 1))))))</f>
        <v>1.0506</v>
      </c>
      <c r="O67" s="22">
        <f t="shared" ref="O67:O101" si="6">PRODUCT(F67,N67)</f>
        <v>749426.49413999985</v>
      </c>
      <c r="P67" s="22">
        <f t="shared" ref="P67:P101" si="7">(O67-H67)</f>
        <v>719944.0441399999</v>
      </c>
      <c r="Q67" s="24">
        <f t="shared" ref="Q67:Q101" si="8">MIN(P67,G67)</f>
        <v>719944.0441399999</v>
      </c>
      <c r="R67" s="67">
        <f t="shared" ref="R67:R101" si="9">IF(Q67&lt;1000000,1,0)</f>
        <v>1</v>
      </c>
      <c r="S67" s="77">
        <f t="shared" ref="S67:S101" si="10">YEAR(B67)</f>
        <v>2022</v>
      </c>
    </row>
    <row r="68" spans="1:19">
      <c r="A68" s="77" t="s">
        <v>122</v>
      </c>
      <c r="B68" s="1">
        <v>44369</v>
      </c>
      <c r="C68" s="77" t="s">
        <v>26</v>
      </c>
      <c r="D68" s="3">
        <v>573839.54</v>
      </c>
      <c r="E68" s="77" t="s">
        <v>21</v>
      </c>
      <c r="F68" s="21">
        <f t="shared" si="5"/>
        <v>601678.92000000004</v>
      </c>
      <c r="G68" s="70">
        <v>5000000</v>
      </c>
      <c r="H68" s="3">
        <v>27839.38</v>
      </c>
      <c r="I68" s="77" t="s">
        <v>27</v>
      </c>
      <c r="J68" s="77" t="s">
        <v>48</v>
      </c>
      <c r="K68" s="77" t="s">
        <v>65</v>
      </c>
      <c r="L68" s="77">
        <f ca="1">IF(C68="Cargo Liability",RANDBETWEEN(10000,80000),IF(C68="Collision Liability",RANDBETWEEN(20000,100000),IF(C68="Environmental Pollution",RANDBETWEEN(50000,120000),IF(C68="Damage to Other Vessels",RANDBETWEEN(15000,90000),IF(C68="Injury to Third Parties",RANDBETWEEN(5000,60000))))))</f>
        <v>69937</v>
      </c>
      <c r="M68" s="77">
        <v>5</v>
      </c>
      <c r="N68" s="77">
        <f>IF(YEAR(B68)=2023, 1.03,
   IF(YEAR(B68)=2022, 1.0506,
   IF(YEAR(B68)=2021, 1.071612,
   IF(YEAR(B68)=2020, 1.10376036,
   IF(YEAR(B68)=2019, 1.1479107744,
   IF(YEAR(B68)=2018, 1.20530631312, 1))))))</f>
        <v>1.071612</v>
      </c>
      <c r="O68" s="22">
        <f t="shared" si="6"/>
        <v>644766.35081904009</v>
      </c>
      <c r="P68" s="22">
        <f t="shared" si="7"/>
        <v>616926.97081904009</v>
      </c>
      <c r="Q68" s="24">
        <f t="shared" si="8"/>
        <v>616926.97081904009</v>
      </c>
      <c r="R68" s="67">
        <f t="shared" si="9"/>
        <v>1</v>
      </c>
      <c r="S68" s="77">
        <f t="shared" si="10"/>
        <v>2021</v>
      </c>
    </row>
    <row r="69" spans="1:19">
      <c r="A69" s="77" t="s">
        <v>123</v>
      </c>
      <c r="B69" s="1">
        <v>43857</v>
      </c>
      <c r="C69" s="77" t="s">
        <v>42</v>
      </c>
      <c r="D69" s="3">
        <v>572839.44999999995</v>
      </c>
      <c r="E69" s="77" t="s">
        <v>21</v>
      </c>
      <c r="F69" s="21">
        <f t="shared" si="5"/>
        <v>605786.89999999991</v>
      </c>
      <c r="G69" s="70">
        <v>5000000</v>
      </c>
      <c r="H69" s="3">
        <v>32947.449999999997</v>
      </c>
      <c r="I69" s="77" t="s">
        <v>22</v>
      </c>
      <c r="J69" s="77" t="s">
        <v>39</v>
      </c>
      <c r="K69" s="77" t="s">
        <v>59</v>
      </c>
      <c r="L69" s="77">
        <f ca="1">IF(C69="Cargo Liability",RANDBETWEEN(10000,80000),IF(C69="Collision Liability",RANDBETWEEN(20000,100000),IF(C69="Environmental Pollution",RANDBETWEEN(50000,120000),IF(C69="Damage to Other Vessels",RANDBETWEEN(15000,90000),IF(C69="Injury to Third Parties",RANDBETWEEN(5000,60000))))))</f>
        <v>30106</v>
      </c>
      <c r="M69" s="77">
        <v>3</v>
      </c>
      <c r="N69" s="77">
        <f>IF(YEAR(B69)=2023, 1.03,
   IF(YEAR(B69)=2022, 1.0506,
   IF(YEAR(B69)=2021, 1.071612,
   IF(YEAR(B69)=2020, 1.10376036,
   IF(YEAR(B69)=2019, 1.1479107744,
   IF(YEAR(B69)=2018, 1.20530631312, 1))))))</f>
        <v>1.1037603600000001</v>
      </c>
      <c r="O69" s="22">
        <f t="shared" si="6"/>
        <v>668643.56682728394</v>
      </c>
      <c r="P69" s="22">
        <f t="shared" si="7"/>
        <v>635696.11682728399</v>
      </c>
      <c r="Q69" s="24">
        <f t="shared" si="8"/>
        <v>635696.11682728399</v>
      </c>
      <c r="R69" s="67">
        <f t="shared" si="9"/>
        <v>1</v>
      </c>
      <c r="S69" s="77">
        <f t="shared" si="10"/>
        <v>2020</v>
      </c>
    </row>
    <row r="70" spans="1:19">
      <c r="A70" s="77" t="s">
        <v>124</v>
      </c>
      <c r="B70" s="1">
        <v>43593</v>
      </c>
      <c r="C70" s="77" t="s">
        <v>42</v>
      </c>
      <c r="D70" s="3">
        <v>472839.38</v>
      </c>
      <c r="E70" s="77" t="s">
        <v>37</v>
      </c>
      <c r="F70" s="21">
        <f t="shared" si="5"/>
        <v>502313.22000000003</v>
      </c>
      <c r="G70" s="70">
        <v>2000000</v>
      </c>
      <c r="H70" s="3">
        <v>29473.84</v>
      </c>
      <c r="I70" s="77" t="s">
        <v>27</v>
      </c>
      <c r="J70" s="77" t="s">
        <v>33</v>
      </c>
      <c r="K70" s="77" t="s">
        <v>75</v>
      </c>
      <c r="L70" s="77">
        <f ca="1">IF(C70="Cargo Liability",RANDBETWEEN(10000,80000),IF(C70="Collision Liability",RANDBETWEEN(20000,100000),IF(C70="Environmental Pollution",RANDBETWEEN(50000,120000),IF(C70="Damage to Other Vessels",RANDBETWEEN(15000,90000),IF(C70="Injury to Third Parties",RANDBETWEEN(5000,60000))))))</f>
        <v>21853</v>
      </c>
      <c r="M70" s="77">
        <v>4</v>
      </c>
      <c r="N70" s="77">
        <f>IF(YEAR(B70)=2023, 1.03,
   IF(YEAR(B70)=2022, 1.0506,
   IF(YEAR(B70)=2021, 1.071612,
   IF(YEAR(B70)=2020, 1.10376036,
   IF(YEAR(B70)=2019, 1.1479107744,
   IF(YEAR(B70)=2018, 1.20530631312, 1))))))</f>
        <v>1.1479107743999999</v>
      </c>
      <c r="O70" s="22">
        <f t="shared" si="6"/>
        <v>576610.75736155757</v>
      </c>
      <c r="P70" s="22">
        <f t="shared" si="7"/>
        <v>547136.9173615576</v>
      </c>
      <c r="Q70" s="24">
        <f t="shared" si="8"/>
        <v>547136.9173615576</v>
      </c>
      <c r="R70" s="67">
        <f t="shared" si="9"/>
        <v>1</v>
      </c>
      <c r="S70" s="77">
        <f t="shared" si="10"/>
        <v>2019</v>
      </c>
    </row>
    <row r="71" spans="1:19">
      <c r="A71" s="77" t="s">
        <v>125</v>
      </c>
      <c r="B71" s="1">
        <v>45035</v>
      </c>
      <c r="C71" s="77" t="s">
        <v>20</v>
      </c>
      <c r="D71" s="3">
        <v>573849.48</v>
      </c>
      <c r="E71" s="77" t="s">
        <v>21</v>
      </c>
      <c r="F71" s="21">
        <f t="shared" si="5"/>
        <v>606697.05999999994</v>
      </c>
      <c r="G71" s="70">
        <v>5000000</v>
      </c>
      <c r="H71" s="3">
        <v>32847.58</v>
      </c>
      <c r="I71" s="77" t="s">
        <v>27</v>
      </c>
      <c r="J71" s="77" t="s">
        <v>48</v>
      </c>
      <c r="K71" s="77" t="s">
        <v>57</v>
      </c>
      <c r="L71" s="77">
        <f ca="1">IF(C71="Cargo Liability",RANDBETWEEN(10000,80000),IF(C71="Collision Liability",RANDBETWEEN(20000,100000),IF(C71="Environmental Pollution",RANDBETWEEN(50000,120000),IF(C71="Damage to Other Vessels",RANDBETWEEN(15000,90000),IF(C71="Injury to Third Parties",RANDBETWEEN(5000,60000))))))</f>
        <v>26241</v>
      </c>
      <c r="M71" s="77">
        <v>3</v>
      </c>
      <c r="N71" s="77">
        <f>IF(YEAR(B71)=2023, 1.03,
   IF(YEAR(B71)=2022, 1.0506,
   IF(YEAR(B71)=2021, 1.071612,
   IF(YEAR(B71)=2020, 1.10376036,
   IF(YEAR(B71)=2019, 1.1479107744,
   IF(YEAR(B71)=2018, 1.20530631312, 1))))))</f>
        <v>1.03</v>
      </c>
      <c r="O71" s="22">
        <f t="shared" si="6"/>
        <v>624897.97179999994</v>
      </c>
      <c r="P71" s="22">
        <f t="shared" si="7"/>
        <v>592050.39179999998</v>
      </c>
      <c r="Q71" s="24">
        <f t="shared" si="8"/>
        <v>592050.39179999998</v>
      </c>
      <c r="R71" s="67">
        <f t="shared" si="9"/>
        <v>1</v>
      </c>
      <c r="S71" s="77">
        <f t="shared" si="10"/>
        <v>2023</v>
      </c>
    </row>
    <row r="72" spans="1:19">
      <c r="A72" s="77" t="s">
        <v>126</v>
      </c>
      <c r="B72" s="1">
        <v>44481</v>
      </c>
      <c r="C72" s="77" t="s">
        <v>31</v>
      </c>
      <c r="D72" s="3">
        <v>683849.75</v>
      </c>
      <c r="E72" s="77" t="s">
        <v>21</v>
      </c>
      <c r="F72" s="21">
        <f t="shared" si="5"/>
        <v>721798.13</v>
      </c>
      <c r="G72" s="70">
        <v>5000000</v>
      </c>
      <c r="H72" s="3">
        <v>37948.379999999997</v>
      </c>
      <c r="I72" s="77" t="s">
        <v>32</v>
      </c>
      <c r="J72" s="77" t="s">
        <v>39</v>
      </c>
      <c r="K72" s="77" t="s">
        <v>63</v>
      </c>
      <c r="L72" s="77">
        <f ca="1">IF(C72="Cargo Liability",RANDBETWEEN(10000,80000),IF(C72="Collision Liability",RANDBETWEEN(20000,100000),IF(C72="Environmental Pollution",RANDBETWEEN(50000,120000),IF(C72="Damage to Other Vessels",RANDBETWEEN(15000,90000),IF(C72="Injury to Third Parties",RANDBETWEEN(5000,60000))))))</f>
        <v>76248</v>
      </c>
      <c r="M72" s="77">
        <v>5</v>
      </c>
      <c r="N72" s="77">
        <f>IF(YEAR(B72)=2023, 1.03,
   IF(YEAR(B72)=2022, 1.0506,
   IF(YEAR(B72)=2021, 1.071612,
   IF(YEAR(B72)=2020, 1.10376036,
   IF(YEAR(B72)=2019, 1.1479107744,
   IF(YEAR(B72)=2018, 1.20530631312, 1))))))</f>
        <v>1.071612</v>
      </c>
      <c r="O72" s="22">
        <f t="shared" si="6"/>
        <v>773487.53768556006</v>
      </c>
      <c r="P72" s="22">
        <f t="shared" si="7"/>
        <v>735539.15768556006</v>
      </c>
      <c r="Q72" s="24">
        <f t="shared" si="8"/>
        <v>735539.15768556006</v>
      </c>
      <c r="R72" s="67">
        <f t="shared" si="9"/>
        <v>1</v>
      </c>
      <c r="S72" s="77">
        <f t="shared" si="10"/>
        <v>2021</v>
      </c>
    </row>
    <row r="73" spans="1:19">
      <c r="A73" s="77" t="s">
        <v>127</v>
      </c>
      <c r="B73" s="1">
        <v>44648</v>
      </c>
      <c r="C73" s="77" t="s">
        <v>36</v>
      </c>
      <c r="D73" s="3">
        <v>739849.45</v>
      </c>
      <c r="E73" s="77" t="s">
        <v>37</v>
      </c>
      <c r="F73" s="21">
        <f t="shared" si="5"/>
        <v>778796.89999999991</v>
      </c>
      <c r="G73" s="70">
        <v>5000000</v>
      </c>
      <c r="H73" s="3">
        <v>38947.449999999997</v>
      </c>
      <c r="I73" s="77" t="s">
        <v>38</v>
      </c>
      <c r="J73" s="77" t="s">
        <v>23</v>
      </c>
      <c r="K73" s="77" t="s">
        <v>51</v>
      </c>
      <c r="L73" s="77">
        <f ca="1">IF(C73="Cargo Liability",RANDBETWEEN(10000,80000),IF(C73="Collision Liability",RANDBETWEEN(20000,100000),IF(C73="Environmental Pollution",RANDBETWEEN(50000,120000),IF(C73="Damage to Other Vessels",RANDBETWEEN(15000,90000),IF(C73="Injury to Third Parties",RANDBETWEEN(5000,60000))))))</f>
        <v>61459</v>
      </c>
      <c r="M73" s="77">
        <v>3</v>
      </c>
      <c r="N73" s="77">
        <f>IF(YEAR(B73)=2023, 1.03,
   IF(YEAR(B73)=2022, 1.0506,
   IF(YEAR(B73)=2021, 1.071612,
   IF(YEAR(B73)=2020, 1.10376036,
   IF(YEAR(B73)=2019, 1.1479107744,
   IF(YEAR(B73)=2018, 1.20530631312, 1))))))</f>
        <v>1.0506</v>
      </c>
      <c r="O73" s="22">
        <f t="shared" si="6"/>
        <v>818204.02313999983</v>
      </c>
      <c r="P73" s="22">
        <f t="shared" si="7"/>
        <v>779256.57313999988</v>
      </c>
      <c r="Q73" s="24">
        <f t="shared" si="8"/>
        <v>779256.57313999988</v>
      </c>
      <c r="R73" s="67">
        <f t="shared" si="9"/>
        <v>1</v>
      </c>
      <c r="S73" s="77">
        <f t="shared" si="10"/>
        <v>2022</v>
      </c>
    </row>
    <row r="74" spans="1:19">
      <c r="A74" s="77" t="s">
        <v>128</v>
      </c>
      <c r="B74" s="1">
        <v>44047</v>
      </c>
      <c r="C74" s="77" t="s">
        <v>26</v>
      </c>
      <c r="D74" s="3">
        <v>573839.54</v>
      </c>
      <c r="E74" s="77" t="s">
        <v>21</v>
      </c>
      <c r="F74" s="21">
        <f t="shared" si="5"/>
        <v>601678.92000000004</v>
      </c>
      <c r="G74" s="70">
        <v>5000000</v>
      </c>
      <c r="H74" s="3">
        <v>27839.38</v>
      </c>
      <c r="I74" s="77" t="s">
        <v>27</v>
      </c>
      <c r="J74" s="77" t="s">
        <v>28</v>
      </c>
      <c r="K74" s="77" t="s">
        <v>86</v>
      </c>
      <c r="L74" s="77">
        <f ca="1">IF(C74="Cargo Liability",RANDBETWEEN(10000,80000),IF(C74="Collision Liability",RANDBETWEEN(20000,100000),IF(C74="Environmental Pollution",RANDBETWEEN(50000,120000),IF(C74="Damage to Other Vessels",RANDBETWEEN(15000,90000),IF(C74="Injury to Third Parties",RANDBETWEEN(5000,60000))))))</f>
        <v>51104</v>
      </c>
      <c r="M74" s="77">
        <v>6</v>
      </c>
      <c r="N74" s="77">
        <f>IF(YEAR(B74)=2023, 1.03,
   IF(YEAR(B74)=2022, 1.0506,
   IF(YEAR(B74)=2021, 1.071612,
   IF(YEAR(B74)=2020, 1.10376036,
   IF(YEAR(B74)=2019, 1.1479107744,
   IF(YEAR(B74)=2018, 1.20530631312, 1))))))</f>
        <v>1.1037603600000001</v>
      </c>
      <c r="O74" s="22">
        <f t="shared" si="6"/>
        <v>664109.34134361136</v>
      </c>
      <c r="P74" s="22">
        <f t="shared" si="7"/>
        <v>636269.96134361136</v>
      </c>
      <c r="Q74" s="24">
        <f t="shared" si="8"/>
        <v>636269.96134361136</v>
      </c>
      <c r="R74" s="67">
        <f t="shared" si="9"/>
        <v>1</v>
      </c>
      <c r="S74" s="77">
        <f t="shared" si="10"/>
        <v>2020</v>
      </c>
    </row>
    <row r="75" spans="1:19">
      <c r="A75" s="77" t="s">
        <v>129</v>
      </c>
      <c r="B75" s="1">
        <v>43268</v>
      </c>
      <c r="C75" s="77" t="s">
        <v>42</v>
      </c>
      <c r="D75" s="3">
        <v>572839.44999999995</v>
      </c>
      <c r="E75" s="77" t="s">
        <v>21</v>
      </c>
      <c r="F75" s="21">
        <f t="shared" si="5"/>
        <v>605786.89999999991</v>
      </c>
      <c r="G75" s="70">
        <v>5000000</v>
      </c>
      <c r="H75" s="3">
        <v>32947.449999999997</v>
      </c>
      <c r="I75" s="77" t="s">
        <v>22</v>
      </c>
      <c r="J75" s="77" t="s">
        <v>48</v>
      </c>
      <c r="K75" s="77" t="s">
        <v>24</v>
      </c>
      <c r="L75" s="77">
        <f ca="1">IF(C75="Cargo Liability",RANDBETWEEN(10000,80000),IF(C75="Collision Liability",RANDBETWEEN(20000,100000),IF(C75="Environmental Pollution",RANDBETWEEN(50000,120000),IF(C75="Damage to Other Vessels",RANDBETWEEN(15000,90000),IF(C75="Injury to Third Parties",RANDBETWEEN(5000,60000))))))</f>
        <v>36520</v>
      </c>
      <c r="M75" s="77">
        <v>3</v>
      </c>
      <c r="N75" s="77">
        <f>IF(YEAR(B75)=2023, 1.03,
   IF(YEAR(B75)=2022, 1.0506,
   IF(YEAR(B75)=2021, 1.071612,
   IF(YEAR(B75)=2020, 1.10376036,
   IF(YEAR(B75)=2019, 1.1479107744,
   IF(YEAR(B75)=2018, 1.20530631312, 1))))))</f>
        <v>1.2053063131199999</v>
      </c>
      <c r="O75" s="22">
        <f t="shared" si="6"/>
        <v>730158.77497539402</v>
      </c>
      <c r="P75" s="22">
        <f t="shared" si="7"/>
        <v>697211.32497539406</v>
      </c>
      <c r="Q75" s="24">
        <f t="shared" si="8"/>
        <v>697211.32497539406</v>
      </c>
      <c r="R75" s="67">
        <f t="shared" si="9"/>
        <v>1</v>
      </c>
      <c r="S75" s="77">
        <f t="shared" si="10"/>
        <v>2018</v>
      </c>
    </row>
    <row r="76" spans="1:19">
      <c r="A76" s="77" t="s">
        <v>130</v>
      </c>
      <c r="B76" s="1">
        <v>45068</v>
      </c>
      <c r="C76" s="77" t="s">
        <v>20</v>
      </c>
      <c r="D76" s="3">
        <v>793849.23</v>
      </c>
      <c r="E76" s="77" t="s">
        <v>37</v>
      </c>
      <c r="F76" s="21">
        <f t="shared" si="5"/>
        <v>823331.71</v>
      </c>
      <c r="G76" s="70">
        <v>5000000</v>
      </c>
      <c r="H76" s="3">
        <v>29482.48</v>
      </c>
      <c r="I76" s="77" t="s">
        <v>27</v>
      </c>
      <c r="J76" s="77" t="s">
        <v>39</v>
      </c>
      <c r="K76" s="77" t="s">
        <v>44</v>
      </c>
      <c r="L76" s="77">
        <f ca="1">IF(C76="Cargo Liability",RANDBETWEEN(10000,80000),IF(C76="Collision Liability",RANDBETWEEN(20000,100000),IF(C76="Environmental Pollution",RANDBETWEEN(50000,120000),IF(C76="Damage to Other Vessels",RANDBETWEEN(15000,90000),IF(C76="Injury to Third Parties",RANDBETWEEN(5000,60000))))))</f>
        <v>40005</v>
      </c>
      <c r="M76" s="77">
        <v>4</v>
      </c>
      <c r="N76" s="77">
        <f>IF(YEAR(B76)=2023, 1.03,
   IF(YEAR(B76)=2022, 1.0506,
   IF(YEAR(B76)=2021, 1.071612,
   IF(YEAR(B76)=2020, 1.10376036,
   IF(YEAR(B76)=2019, 1.1479107744,
   IF(YEAR(B76)=2018, 1.20530631312, 1))))))</f>
        <v>1.03</v>
      </c>
      <c r="O76" s="22">
        <f t="shared" si="6"/>
        <v>848031.66130000004</v>
      </c>
      <c r="P76" s="22">
        <f t="shared" si="7"/>
        <v>818549.18130000005</v>
      </c>
      <c r="Q76" s="24">
        <f t="shared" si="8"/>
        <v>818549.18130000005</v>
      </c>
      <c r="R76" s="67">
        <f t="shared" si="9"/>
        <v>1</v>
      </c>
      <c r="S76" s="77">
        <f t="shared" si="10"/>
        <v>2023</v>
      </c>
    </row>
    <row r="77" spans="1:19">
      <c r="A77" s="77" t="s">
        <v>131</v>
      </c>
      <c r="B77" s="1">
        <v>44383</v>
      </c>
      <c r="C77" s="77" t="s">
        <v>31</v>
      </c>
      <c r="D77" s="3">
        <v>573849.48</v>
      </c>
      <c r="E77" s="77" t="s">
        <v>21</v>
      </c>
      <c r="F77" s="21">
        <f t="shared" si="5"/>
        <v>606697.05999999994</v>
      </c>
      <c r="G77" s="70">
        <v>5000000</v>
      </c>
      <c r="H77" s="3">
        <v>32847.58</v>
      </c>
      <c r="I77" s="77" t="s">
        <v>32</v>
      </c>
      <c r="J77" s="77" t="s">
        <v>23</v>
      </c>
      <c r="K77" s="77" t="s">
        <v>65</v>
      </c>
      <c r="L77" s="77">
        <f ca="1">IF(C77="Cargo Liability",RANDBETWEEN(10000,80000),IF(C77="Collision Liability",RANDBETWEEN(20000,100000),IF(C77="Environmental Pollution",RANDBETWEEN(50000,120000),IF(C77="Damage to Other Vessels",RANDBETWEEN(15000,90000),IF(C77="Injury to Third Parties",RANDBETWEEN(5000,60000))))))</f>
        <v>86149</v>
      </c>
      <c r="M77" s="77">
        <v>3</v>
      </c>
      <c r="N77" s="77">
        <f>IF(YEAR(B77)=2023, 1.03,
   IF(YEAR(B77)=2022, 1.0506,
   IF(YEAR(B77)=2021, 1.071612,
   IF(YEAR(B77)=2020, 1.10376036,
   IF(YEAR(B77)=2019, 1.1479107744,
   IF(YEAR(B77)=2018, 1.20530631312, 1))))))</f>
        <v>1.071612</v>
      </c>
      <c r="O77" s="22">
        <f t="shared" si="6"/>
        <v>650143.84986071999</v>
      </c>
      <c r="P77" s="22">
        <f t="shared" si="7"/>
        <v>617296.26986072003</v>
      </c>
      <c r="Q77" s="24">
        <f t="shared" si="8"/>
        <v>617296.26986072003</v>
      </c>
      <c r="R77" s="67">
        <f t="shared" si="9"/>
        <v>1</v>
      </c>
      <c r="S77" s="77">
        <f t="shared" si="10"/>
        <v>2021</v>
      </c>
    </row>
    <row r="78" spans="1:19">
      <c r="A78" s="77" t="s">
        <v>132</v>
      </c>
      <c r="B78" s="1">
        <v>43879</v>
      </c>
      <c r="C78" s="77" t="s">
        <v>36</v>
      </c>
      <c r="D78" s="3">
        <v>572839.44999999995</v>
      </c>
      <c r="E78" s="77" t="s">
        <v>21</v>
      </c>
      <c r="F78" s="21">
        <f t="shared" si="5"/>
        <v>605786.89999999991</v>
      </c>
      <c r="G78" s="70">
        <v>5000000</v>
      </c>
      <c r="H78" s="3">
        <v>32947.449999999997</v>
      </c>
      <c r="I78" s="77" t="s">
        <v>38</v>
      </c>
      <c r="J78" s="77" t="s">
        <v>33</v>
      </c>
      <c r="K78" s="77" t="s">
        <v>53</v>
      </c>
      <c r="L78" s="77">
        <f ca="1">IF(C78="Cargo Liability",RANDBETWEEN(10000,80000),IF(C78="Collision Liability",RANDBETWEEN(20000,100000),IF(C78="Environmental Pollution",RANDBETWEEN(50000,120000),IF(C78="Damage to Other Vessels",RANDBETWEEN(15000,90000),IF(C78="Injury to Third Parties",RANDBETWEEN(5000,60000))))))</f>
        <v>90289</v>
      </c>
      <c r="M78" s="77">
        <v>6</v>
      </c>
      <c r="N78" s="77">
        <f>IF(YEAR(B78)=2023, 1.03,
   IF(YEAR(B78)=2022, 1.0506,
   IF(YEAR(B78)=2021, 1.071612,
   IF(YEAR(B78)=2020, 1.10376036,
   IF(YEAR(B78)=2019, 1.1479107744,
   IF(YEAR(B78)=2018, 1.20530631312, 1))))))</f>
        <v>1.1037603600000001</v>
      </c>
      <c r="O78" s="22">
        <f t="shared" si="6"/>
        <v>668643.56682728394</v>
      </c>
      <c r="P78" s="22">
        <f t="shared" si="7"/>
        <v>635696.11682728399</v>
      </c>
      <c r="Q78" s="24">
        <f t="shared" si="8"/>
        <v>635696.11682728399</v>
      </c>
      <c r="R78" s="67">
        <f t="shared" si="9"/>
        <v>1</v>
      </c>
      <c r="S78" s="77">
        <f t="shared" si="10"/>
        <v>2020</v>
      </c>
    </row>
    <row r="79" spans="1:19">
      <c r="A79" s="77" t="s">
        <v>133</v>
      </c>
      <c r="B79" s="1">
        <v>44818</v>
      </c>
      <c r="C79" s="77" t="s">
        <v>26</v>
      </c>
      <c r="D79" s="3">
        <v>573839.54</v>
      </c>
      <c r="E79" s="77" t="s">
        <v>37</v>
      </c>
      <c r="F79" s="21">
        <f t="shared" si="5"/>
        <v>601678.92000000004</v>
      </c>
      <c r="G79" s="70">
        <v>5000000</v>
      </c>
      <c r="H79" s="3">
        <v>27839.38</v>
      </c>
      <c r="I79" s="77" t="s">
        <v>27</v>
      </c>
      <c r="J79" s="77" t="s">
        <v>28</v>
      </c>
      <c r="K79" s="77" t="s">
        <v>49</v>
      </c>
      <c r="L79" s="77">
        <f ca="1">IF(C79="Cargo Liability",RANDBETWEEN(10000,80000),IF(C79="Collision Liability",RANDBETWEEN(20000,100000),IF(C79="Environmental Pollution",RANDBETWEEN(50000,120000),IF(C79="Damage to Other Vessels",RANDBETWEEN(15000,90000),IF(C79="Injury to Third Parties",RANDBETWEEN(5000,60000))))))</f>
        <v>71995</v>
      </c>
      <c r="M79" s="77">
        <v>3</v>
      </c>
      <c r="N79" s="77">
        <f>IF(YEAR(B79)=2023, 1.03,
   IF(YEAR(B79)=2022, 1.0506,
   IF(YEAR(B79)=2021, 1.071612,
   IF(YEAR(B79)=2020, 1.10376036,
   IF(YEAR(B79)=2019, 1.1479107744,
   IF(YEAR(B79)=2018, 1.20530631312, 1))))))</f>
        <v>1.0506</v>
      </c>
      <c r="O79" s="22">
        <f t="shared" si="6"/>
        <v>632123.87335200002</v>
      </c>
      <c r="P79" s="22">
        <f t="shared" si="7"/>
        <v>604284.49335200002</v>
      </c>
      <c r="Q79" s="24">
        <f t="shared" si="8"/>
        <v>604284.49335200002</v>
      </c>
      <c r="R79" s="67">
        <f t="shared" si="9"/>
        <v>1</v>
      </c>
      <c r="S79" s="77">
        <f t="shared" si="10"/>
        <v>2022</v>
      </c>
    </row>
    <row r="80" spans="1:19">
      <c r="A80" s="77" t="s">
        <v>134</v>
      </c>
      <c r="B80" s="1">
        <v>44992</v>
      </c>
      <c r="C80" s="77" t="s">
        <v>42</v>
      </c>
      <c r="D80" s="3">
        <v>473839.25</v>
      </c>
      <c r="E80" s="77" t="s">
        <v>21</v>
      </c>
      <c r="F80" s="21">
        <f t="shared" si="5"/>
        <v>501321.63</v>
      </c>
      <c r="G80" s="70">
        <v>2000000</v>
      </c>
      <c r="H80" s="3">
        <v>27482.38</v>
      </c>
      <c r="I80" s="77" t="s">
        <v>22</v>
      </c>
      <c r="J80" s="77" t="s">
        <v>48</v>
      </c>
      <c r="K80" s="77" t="s">
        <v>34</v>
      </c>
      <c r="L80" s="77">
        <f ca="1">IF(C80="Cargo Liability",RANDBETWEEN(10000,80000),IF(C80="Collision Liability",RANDBETWEEN(20000,100000),IF(C80="Environmental Pollution",RANDBETWEEN(50000,120000),IF(C80="Damage to Other Vessels",RANDBETWEEN(15000,90000),IF(C80="Injury to Third Parties",RANDBETWEEN(5000,60000))))))</f>
        <v>29856</v>
      </c>
      <c r="M80" s="77">
        <v>5</v>
      </c>
      <c r="N80" s="77">
        <f>IF(YEAR(B80)=2023, 1.03,
   IF(YEAR(B80)=2022, 1.0506,
   IF(YEAR(B80)=2021, 1.071612,
   IF(YEAR(B80)=2020, 1.10376036,
   IF(YEAR(B80)=2019, 1.1479107744,
   IF(YEAR(B80)=2018, 1.20530631312, 1))))))</f>
        <v>1.03</v>
      </c>
      <c r="O80" s="22">
        <f t="shared" si="6"/>
        <v>516361.27890000003</v>
      </c>
      <c r="P80" s="22">
        <f t="shared" si="7"/>
        <v>488878.89890000003</v>
      </c>
      <c r="Q80" s="24">
        <f t="shared" si="8"/>
        <v>488878.89890000003</v>
      </c>
      <c r="R80" s="67">
        <f t="shared" si="9"/>
        <v>1</v>
      </c>
      <c r="S80" s="77">
        <f t="shared" si="10"/>
        <v>2023</v>
      </c>
    </row>
    <row r="81" spans="1:19">
      <c r="A81" s="77" t="s">
        <v>135</v>
      </c>
      <c r="B81" s="1">
        <v>44531</v>
      </c>
      <c r="C81" s="77" t="s">
        <v>20</v>
      </c>
      <c r="D81" s="3">
        <v>573849.48</v>
      </c>
      <c r="E81" s="77" t="s">
        <v>21</v>
      </c>
      <c r="F81" s="21">
        <f t="shared" si="5"/>
        <v>606697.05999999994</v>
      </c>
      <c r="G81" s="70">
        <v>5000000</v>
      </c>
      <c r="H81" s="3">
        <v>32847.58</v>
      </c>
      <c r="I81" s="77" t="s">
        <v>27</v>
      </c>
      <c r="J81" s="77" t="s">
        <v>39</v>
      </c>
      <c r="K81" s="77" t="s">
        <v>40</v>
      </c>
      <c r="L81" s="77">
        <f ca="1">IF(C81="Cargo Liability",RANDBETWEEN(10000,80000),IF(C81="Collision Liability",RANDBETWEEN(20000,100000),IF(C81="Environmental Pollution",RANDBETWEEN(50000,120000),IF(C81="Damage to Other Vessels",RANDBETWEEN(15000,90000),IF(C81="Injury to Third Parties",RANDBETWEEN(5000,60000))))))</f>
        <v>45195</v>
      </c>
      <c r="M81" s="77">
        <v>7</v>
      </c>
      <c r="N81" s="77">
        <f>IF(YEAR(B81)=2023, 1.03,
   IF(YEAR(B81)=2022, 1.0506,
   IF(YEAR(B81)=2021, 1.071612,
   IF(YEAR(B81)=2020, 1.10376036,
   IF(YEAR(B81)=2019, 1.1479107744,
   IF(YEAR(B81)=2018, 1.20530631312, 1))))))</f>
        <v>1.071612</v>
      </c>
      <c r="O81" s="22">
        <f t="shared" si="6"/>
        <v>650143.84986071999</v>
      </c>
      <c r="P81" s="22">
        <f t="shared" si="7"/>
        <v>617296.26986072003</v>
      </c>
      <c r="Q81" s="24">
        <f t="shared" si="8"/>
        <v>617296.26986072003</v>
      </c>
      <c r="R81" s="67">
        <f t="shared" si="9"/>
        <v>1</v>
      </c>
      <c r="S81" s="77">
        <f t="shared" si="10"/>
        <v>2021</v>
      </c>
    </row>
    <row r="82" spans="1:19">
      <c r="A82" s="77" t="s">
        <v>136</v>
      </c>
      <c r="B82" s="1">
        <v>43987</v>
      </c>
      <c r="C82" s="77" t="s">
        <v>31</v>
      </c>
      <c r="D82" s="3">
        <v>683849.75</v>
      </c>
      <c r="E82" s="77" t="s">
        <v>21</v>
      </c>
      <c r="F82" s="21">
        <f t="shared" si="5"/>
        <v>721798.13</v>
      </c>
      <c r="G82" s="70">
        <v>5000000</v>
      </c>
      <c r="H82" s="3">
        <v>37948.379999999997</v>
      </c>
      <c r="I82" s="77" t="s">
        <v>32</v>
      </c>
      <c r="J82" s="77" t="s">
        <v>23</v>
      </c>
      <c r="K82" s="77" t="s">
        <v>67</v>
      </c>
      <c r="L82" s="77">
        <f ca="1">IF(C82="Cargo Liability",RANDBETWEEN(10000,80000),IF(C82="Collision Liability",RANDBETWEEN(20000,100000),IF(C82="Environmental Pollution",RANDBETWEEN(50000,120000),IF(C82="Damage to Other Vessels",RANDBETWEEN(15000,90000),IF(C82="Injury to Third Parties",RANDBETWEEN(5000,60000))))))</f>
        <v>68627</v>
      </c>
      <c r="M82" s="77">
        <v>3</v>
      </c>
      <c r="N82" s="77">
        <f>IF(YEAR(B82)=2023, 1.03,
   IF(YEAR(B82)=2022, 1.0506,
   IF(YEAR(B82)=2021, 1.071612,
   IF(YEAR(B82)=2020, 1.10376036,
   IF(YEAR(B82)=2019, 1.1479107744,
   IF(YEAR(B82)=2018, 1.20530631312, 1))))))</f>
        <v>1.1037603600000001</v>
      </c>
      <c r="O82" s="22">
        <f t="shared" si="6"/>
        <v>796692.16381612688</v>
      </c>
      <c r="P82" s="22">
        <f t="shared" si="7"/>
        <v>758743.78381612687</v>
      </c>
      <c r="Q82" s="24">
        <f t="shared" si="8"/>
        <v>758743.78381612687</v>
      </c>
      <c r="R82" s="67">
        <f t="shared" si="9"/>
        <v>1</v>
      </c>
      <c r="S82" s="77">
        <f t="shared" si="10"/>
        <v>2020</v>
      </c>
    </row>
    <row r="83" spans="1:19">
      <c r="A83" s="77" t="s">
        <v>137</v>
      </c>
      <c r="B83" s="1">
        <v>43707</v>
      </c>
      <c r="C83" s="77" t="s">
        <v>36</v>
      </c>
      <c r="D83" s="3">
        <v>739849.45</v>
      </c>
      <c r="E83" s="77" t="s">
        <v>37</v>
      </c>
      <c r="F83" s="21">
        <f t="shared" si="5"/>
        <v>778796.89999999991</v>
      </c>
      <c r="G83" s="70">
        <v>5000000</v>
      </c>
      <c r="H83" s="3">
        <v>38947.449999999997</v>
      </c>
      <c r="I83" s="77" t="s">
        <v>38</v>
      </c>
      <c r="J83" s="77" t="s">
        <v>33</v>
      </c>
      <c r="K83" s="77" t="s">
        <v>61</v>
      </c>
      <c r="L83" s="77">
        <f ca="1">IF(C83="Cargo Liability",RANDBETWEEN(10000,80000),IF(C83="Collision Liability",RANDBETWEEN(20000,100000),IF(C83="Environmental Pollution",RANDBETWEEN(50000,120000),IF(C83="Damage to Other Vessels",RANDBETWEEN(15000,90000),IF(C83="Injury to Third Parties",RANDBETWEEN(5000,60000))))))</f>
        <v>118716</v>
      </c>
      <c r="M83" s="77">
        <v>4</v>
      </c>
      <c r="N83" s="77">
        <f>IF(YEAR(B83)=2023, 1.03,
   IF(YEAR(B83)=2022, 1.0506,
   IF(YEAR(B83)=2021, 1.071612,
   IF(YEAR(B83)=2020, 1.10376036,
   IF(YEAR(B83)=2019, 1.1479107744,
   IF(YEAR(B83)=2018, 1.20530631312, 1))))))</f>
        <v>1.1479107743999999</v>
      </c>
      <c r="O83" s="22">
        <f t="shared" si="6"/>
        <v>893989.35257931915</v>
      </c>
      <c r="P83" s="22">
        <f t="shared" si="7"/>
        <v>855041.9025793192</v>
      </c>
      <c r="Q83" s="24">
        <f t="shared" si="8"/>
        <v>855041.9025793192</v>
      </c>
      <c r="R83" s="67">
        <f t="shared" si="9"/>
        <v>1</v>
      </c>
      <c r="S83" s="77">
        <f t="shared" si="10"/>
        <v>2019</v>
      </c>
    </row>
    <row r="84" spans="1:19">
      <c r="A84" s="77" t="s">
        <v>138</v>
      </c>
      <c r="B84" s="1">
        <v>43426</v>
      </c>
      <c r="C84" s="77" t="s">
        <v>26</v>
      </c>
      <c r="D84" s="3">
        <v>573839.54</v>
      </c>
      <c r="E84" s="77" t="s">
        <v>21</v>
      </c>
      <c r="F84" s="21">
        <f t="shared" si="5"/>
        <v>601678.92000000004</v>
      </c>
      <c r="G84" s="70">
        <v>5000000</v>
      </c>
      <c r="H84" s="3">
        <v>27839.38</v>
      </c>
      <c r="I84" s="77" t="s">
        <v>27</v>
      </c>
      <c r="J84" s="77" t="s">
        <v>28</v>
      </c>
      <c r="K84" s="77" t="s">
        <v>82</v>
      </c>
      <c r="L84" s="77">
        <f ca="1">IF(C84="Cargo Liability",RANDBETWEEN(10000,80000),IF(C84="Collision Liability",RANDBETWEEN(20000,100000),IF(C84="Environmental Pollution",RANDBETWEEN(50000,120000),IF(C84="Damage to Other Vessels",RANDBETWEEN(15000,90000),IF(C84="Injury to Third Parties",RANDBETWEEN(5000,60000))))))</f>
        <v>25158</v>
      </c>
      <c r="M84" s="77">
        <v>5</v>
      </c>
      <c r="N84" s="77">
        <f>IF(YEAR(B84)=2023, 1.03,
   IF(YEAR(B84)=2022, 1.0506,
   IF(YEAR(B84)=2021, 1.071612,
   IF(YEAR(B84)=2020, 1.10376036,
   IF(YEAR(B84)=2019, 1.1479107744,
   IF(YEAR(B84)=2018, 1.20530631312, 1))))))</f>
        <v>1.2053063131199999</v>
      </c>
      <c r="O84" s="22">
        <f t="shared" si="6"/>
        <v>725207.40074722341</v>
      </c>
      <c r="P84" s="22">
        <f t="shared" si="7"/>
        <v>697368.0207472234</v>
      </c>
      <c r="Q84" s="24">
        <f t="shared" si="8"/>
        <v>697368.0207472234</v>
      </c>
      <c r="R84" s="67">
        <f t="shared" si="9"/>
        <v>1</v>
      </c>
      <c r="S84" s="77">
        <f t="shared" si="10"/>
        <v>2018</v>
      </c>
    </row>
    <row r="85" spans="1:19">
      <c r="A85" s="77" t="s">
        <v>139</v>
      </c>
      <c r="B85" s="1">
        <v>44955</v>
      </c>
      <c r="C85" s="77" t="s">
        <v>42</v>
      </c>
      <c r="D85" s="3">
        <v>572839.44999999995</v>
      </c>
      <c r="E85" s="77" t="s">
        <v>21</v>
      </c>
      <c r="F85" s="21">
        <f t="shared" si="5"/>
        <v>605786.89999999991</v>
      </c>
      <c r="G85" s="70">
        <v>5000000</v>
      </c>
      <c r="H85" s="3">
        <v>32947.449999999997</v>
      </c>
      <c r="I85" s="77" t="s">
        <v>22</v>
      </c>
      <c r="J85" s="77" t="s">
        <v>48</v>
      </c>
      <c r="K85" s="77" t="s">
        <v>75</v>
      </c>
      <c r="L85" s="77">
        <f ca="1">IF(C85="Cargo Liability",RANDBETWEEN(10000,80000),IF(C85="Collision Liability",RANDBETWEEN(20000,100000),IF(C85="Environmental Pollution",RANDBETWEEN(50000,120000),IF(C85="Damage to Other Vessels",RANDBETWEEN(15000,90000),IF(C85="Injury to Third Parties",RANDBETWEEN(5000,60000))))))</f>
        <v>9342</v>
      </c>
      <c r="M85" s="77">
        <v>6</v>
      </c>
      <c r="N85" s="77">
        <f>IF(YEAR(B85)=2023, 1.03,
   IF(YEAR(B85)=2022, 1.0506,
   IF(YEAR(B85)=2021, 1.071612,
   IF(YEAR(B85)=2020, 1.10376036,
   IF(YEAR(B85)=2019, 1.1479107744,
   IF(YEAR(B85)=2018, 1.20530631312, 1))))))</f>
        <v>1.03</v>
      </c>
      <c r="O85" s="22">
        <f t="shared" si="6"/>
        <v>623960.50699999987</v>
      </c>
      <c r="P85" s="22">
        <f t="shared" si="7"/>
        <v>591013.05699999991</v>
      </c>
      <c r="Q85" s="24">
        <f t="shared" si="8"/>
        <v>591013.05699999991</v>
      </c>
      <c r="R85" s="67">
        <f t="shared" si="9"/>
        <v>1</v>
      </c>
      <c r="S85" s="77">
        <f t="shared" si="10"/>
        <v>2023</v>
      </c>
    </row>
    <row r="86" spans="1:19">
      <c r="A86" s="77" t="s">
        <v>140</v>
      </c>
      <c r="B86" s="1">
        <v>44296</v>
      </c>
      <c r="C86" s="77" t="s">
        <v>20</v>
      </c>
      <c r="D86" s="3">
        <v>793849.23</v>
      </c>
      <c r="E86" s="77" t="s">
        <v>37</v>
      </c>
      <c r="F86" s="21">
        <f t="shared" si="5"/>
        <v>823331.71</v>
      </c>
      <c r="G86" s="70">
        <v>5000000</v>
      </c>
      <c r="H86" s="3">
        <v>29482.48</v>
      </c>
      <c r="I86" s="77" t="s">
        <v>27</v>
      </c>
      <c r="J86" s="77" t="s">
        <v>39</v>
      </c>
      <c r="K86" s="77" t="s">
        <v>57</v>
      </c>
      <c r="L86" s="77">
        <f ca="1">IF(C86="Cargo Liability",RANDBETWEEN(10000,80000),IF(C86="Collision Liability",RANDBETWEEN(20000,100000),IF(C86="Environmental Pollution",RANDBETWEEN(50000,120000),IF(C86="Damage to Other Vessels",RANDBETWEEN(15000,90000),IF(C86="Injury to Third Parties",RANDBETWEEN(5000,60000))))))</f>
        <v>81104</v>
      </c>
      <c r="M86" s="77">
        <v>4</v>
      </c>
      <c r="N86" s="77">
        <f>IF(YEAR(B86)=2023, 1.03,
   IF(YEAR(B86)=2022, 1.0506,
   IF(YEAR(B86)=2021, 1.071612,
   IF(YEAR(B86)=2020, 1.10376036,
   IF(YEAR(B86)=2019, 1.1479107744,
   IF(YEAR(B86)=2018, 1.20530631312, 1))))))</f>
        <v>1.071612</v>
      </c>
      <c r="O86" s="22">
        <f t="shared" si="6"/>
        <v>882292.14041651995</v>
      </c>
      <c r="P86" s="22">
        <f t="shared" si="7"/>
        <v>852809.66041651997</v>
      </c>
      <c r="Q86" s="24">
        <f t="shared" si="8"/>
        <v>852809.66041651997</v>
      </c>
      <c r="R86" s="67">
        <f t="shared" si="9"/>
        <v>1</v>
      </c>
      <c r="S86" s="77">
        <f t="shared" si="10"/>
        <v>2021</v>
      </c>
    </row>
    <row r="87" spans="1:19">
      <c r="A87" s="77" t="s">
        <v>141</v>
      </c>
      <c r="B87" s="1">
        <v>44032</v>
      </c>
      <c r="C87" s="77" t="s">
        <v>31</v>
      </c>
      <c r="D87" s="3">
        <v>573849.48</v>
      </c>
      <c r="E87" s="77" t="s">
        <v>21</v>
      </c>
      <c r="F87" s="21">
        <f t="shared" si="5"/>
        <v>606697.05999999994</v>
      </c>
      <c r="G87" s="70">
        <v>5000000</v>
      </c>
      <c r="H87" s="3">
        <v>32847.58</v>
      </c>
      <c r="I87" s="77" t="s">
        <v>32</v>
      </c>
      <c r="J87" s="77" t="s">
        <v>23</v>
      </c>
      <c r="K87" s="77" t="s">
        <v>29</v>
      </c>
      <c r="L87" s="77">
        <f ca="1">IF(C87="Cargo Liability",RANDBETWEEN(10000,80000),IF(C87="Collision Liability",RANDBETWEEN(20000,100000),IF(C87="Environmental Pollution",RANDBETWEEN(50000,120000),IF(C87="Damage to Other Vessels",RANDBETWEEN(15000,90000),IF(C87="Injury to Third Parties",RANDBETWEEN(5000,60000))))))</f>
        <v>19090</v>
      </c>
      <c r="M87" s="77">
        <v>3</v>
      </c>
      <c r="N87" s="77">
        <f>IF(YEAR(B87)=2023, 1.03,
   IF(YEAR(B87)=2022, 1.0506,
   IF(YEAR(B87)=2021, 1.071612,
   IF(YEAR(B87)=2020, 1.10376036,
   IF(YEAR(B87)=2019, 1.1479107744,
   IF(YEAR(B87)=2018, 1.20530631312, 1))))))</f>
        <v>1.1037603600000001</v>
      </c>
      <c r="O87" s="22">
        <f t="shared" si="6"/>
        <v>669648.16535654163</v>
      </c>
      <c r="P87" s="22">
        <f t="shared" si="7"/>
        <v>636800.58535654168</v>
      </c>
      <c r="Q87" s="24">
        <f t="shared" si="8"/>
        <v>636800.58535654168</v>
      </c>
      <c r="R87" s="67">
        <f t="shared" si="9"/>
        <v>1</v>
      </c>
      <c r="S87" s="77">
        <f t="shared" si="10"/>
        <v>2020</v>
      </c>
    </row>
    <row r="88" spans="1:19">
      <c r="A88" s="77" t="s">
        <v>142</v>
      </c>
      <c r="B88" s="1">
        <v>43520</v>
      </c>
      <c r="C88" s="77" t="s">
        <v>36</v>
      </c>
      <c r="D88" s="3">
        <v>572839.44999999995</v>
      </c>
      <c r="E88" s="77" t="s">
        <v>21</v>
      </c>
      <c r="F88" s="21">
        <f t="shared" si="5"/>
        <v>605786.89999999991</v>
      </c>
      <c r="G88" s="70">
        <v>5000000</v>
      </c>
      <c r="H88" s="3">
        <v>32947.449999999997</v>
      </c>
      <c r="I88" s="77" t="s">
        <v>38</v>
      </c>
      <c r="J88" s="77" t="s">
        <v>28</v>
      </c>
      <c r="K88" s="77" t="s">
        <v>59</v>
      </c>
      <c r="L88" s="77">
        <f ca="1">IF(C88="Cargo Liability",RANDBETWEEN(10000,80000),IF(C88="Collision Liability",RANDBETWEEN(20000,100000),IF(C88="Environmental Pollution",RANDBETWEEN(50000,120000),IF(C88="Damage to Other Vessels",RANDBETWEEN(15000,90000),IF(C88="Injury to Third Parties",RANDBETWEEN(5000,60000))))))</f>
        <v>71454</v>
      </c>
      <c r="M88" s="77">
        <v>5</v>
      </c>
      <c r="N88" s="77">
        <f>IF(YEAR(B88)=2023, 1.03,
   IF(YEAR(B88)=2022, 1.0506,
   IF(YEAR(B88)=2021, 1.071612,
   IF(YEAR(B88)=2020, 1.10376036,
   IF(YEAR(B88)=2019, 1.1479107744,
   IF(YEAR(B88)=2018, 1.20530631312, 1))))))</f>
        <v>1.1479107743999999</v>
      </c>
      <c r="O88" s="22">
        <f t="shared" si="6"/>
        <v>695389.30950037518</v>
      </c>
      <c r="P88" s="22">
        <f t="shared" si="7"/>
        <v>662441.85950037523</v>
      </c>
      <c r="Q88" s="24">
        <f t="shared" si="8"/>
        <v>662441.85950037523</v>
      </c>
      <c r="R88" s="67">
        <f t="shared" si="9"/>
        <v>1</v>
      </c>
      <c r="S88" s="77">
        <f t="shared" si="10"/>
        <v>2019</v>
      </c>
    </row>
    <row r="89" spans="1:19">
      <c r="A89" s="77" t="s">
        <v>143</v>
      </c>
      <c r="B89" s="1">
        <v>44884</v>
      </c>
      <c r="C89" s="77" t="s">
        <v>26</v>
      </c>
      <c r="D89" s="3">
        <v>573839.54</v>
      </c>
      <c r="E89" s="77" t="s">
        <v>37</v>
      </c>
      <c r="F89" s="21">
        <f t="shared" si="5"/>
        <v>601678.92000000004</v>
      </c>
      <c r="G89" s="70">
        <v>5000000</v>
      </c>
      <c r="H89" s="3">
        <v>27839.38</v>
      </c>
      <c r="I89" s="77" t="s">
        <v>27</v>
      </c>
      <c r="J89" s="77" t="s">
        <v>33</v>
      </c>
      <c r="K89" s="77" t="s">
        <v>51</v>
      </c>
      <c r="L89" s="77">
        <f ca="1">IF(C89="Cargo Liability",RANDBETWEEN(10000,80000),IF(C89="Collision Liability",RANDBETWEEN(20000,100000),IF(C89="Environmental Pollution",RANDBETWEEN(50000,120000),IF(C89="Damage to Other Vessels",RANDBETWEEN(15000,90000),IF(C89="Injury to Third Parties",RANDBETWEEN(5000,60000))))))</f>
        <v>66470</v>
      </c>
      <c r="M89" s="77">
        <v>3</v>
      </c>
      <c r="N89" s="77">
        <f>IF(YEAR(B89)=2023, 1.03,
   IF(YEAR(B89)=2022, 1.0506,
   IF(YEAR(B89)=2021, 1.071612,
   IF(YEAR(B89)=2020, 1.10376036,
   IF(YEAR(B89)=2019, 1.1479107744,
   IF(YEAR(B89)=2018, 1.20530631312, 1))))))</f>
        <v>1.0506</v>
      </c>
      <c r="O89" s="22">
        <f t="shared" si="6"/>
        <v>632123.87335200002</v>
      </c>
      <c r="P89" s="22">
        <f t="shared" si="7"/>
        <v>604284.49335200002</v>
      </c>
      <c r="Q89" s="24">
        <f t="shared" si="8"/>
        <v>604284.49335200002</v>
      </c>
      <c r="R89" s="67">
        <f t="shared" si="9"/>
        <v>1</v>
      </c>
      <c r="S89" s="77">
        <f t="shared" si="10"/>
        <v>2022</v>
      </c>
    </row>
    <row r="90" spans="1:19">
      <c r="A90" s="77" t="s">
        <v>144</v>
      </c>
      <c r="B90" s="1">
        <v>45091</v>
      </c>
      <c r="C90" s="77" t="s">
        <v>42</v>
      </c>
      <c r="D90" s="3">
        <v>473839.25</v>
      </c>
      <c r="E90" s="77" t="s">
        <v>21</v>
      </c>
      <c r="F90" s="21">
        <f t="shared" si="5"/>
        <v>501321.63</v>
      </c>
      <c r="G90" s="70">
        <v>2000000</v>
      </c>
      <c r="H90" s="3">
        <v>27482.38</v>
      </c>
      <c r="I90" s="77" t="s">
        <v>22</v>
      </c>
      <c r="J90" s="77" t="s">
        <v>48</v>
      </c>
      <c r="K90" s="77" t="s">
        <v>24</v>
      </c>
      <c r="L90" s="77">
        <f ca="1">IF(C90="Cargo Liability",RANDBETWEEN(10000,80000),IF(C90="Collision Liability",RANDBETWEEN(20000,100000),IF(C90="Environmental Pollution",RANDBETWEEN(50000,120000),IF(C90="Damage to Other Vessels",RANDBETWEEN(15000,90000),IF(C90="Injury to Third Parties",RANDBETWEEN(5000,60000))))))</f>
        <v>57146</v>
      </c>
      <c r="M90" s="77">
        <v>7</v>
      </c>
      <c r="N90" s="77">
        <f>IF(YEAR(B90)=2023, 1.03,
   IF(YEAR(B90)=2022, 1.0506,
   IF(YEAR(B90)=2021, 1.071612,
   IF(YEAR(B90)=2020, 1.10376036,
   IF(YEAR(B90)=2019, 1.1479107744,
   IF(YEAR(B90)=2018, 1.20530631312, 1))))))</f>
        <v>1.03</v>
      </c>
      <c r="O90" s="22">
        <f t="shared" si="6"/>
        <v>516361.27890000003</v>
      </c>
      <c r="P90" s="22">
        <f t="shared" si="7"/>
        <v>488878.89890000003</v>
      </c>
      <c r="Q90" s="24">
        <f t="shared" si="8"/>
        <v>488878.89890000003</v>
      </c>
      <c r="R90" s="67">
        <f t="shared" si="9"/>
        <v>1</v>
      </c>
      <c r="S90" s="77">
        <f t="shared" si="10"/>
        <v>2023</v>
      </c>
    </row>
    <row r="91" spans="1:19">
      <c r="A91" s="77" t="s">
        <v>145</v>
      </c>
      <c r="B91" s="1">
        <v>44419</v>
      </c>
      <c r="C91" s="77" t="s">
        <v>20</v>
      </c>
      <c r="D91" s="3">
        <v>573849.48</v>
      </c>
      <c r="E91" s="77" t="s">
        <v>21</v>
      </c>
      <c r="F91" s="21">
        <f t="shared" si="5"/>
        <v>606697.05999999994</v>
      </c>
      <c r="G91" s="70">
        <v>5000000</v>
      </c>
      <c r="H91" s="3">
        <v>32847.58</v>
      </c>
      <c r="I91" s="77" t="s">
        <v>27</v>
      </c>
      <c r="J91" s="77" t="s">
        <v>39</v>
      </c>
      <c r="K91" s="77" t="s">
        <v>49</v>
      </c>
      <c r="L91" s="77">
        <f ca="1">IF(C91="Cargo Liability",RANDBETWEEN(10000,80000),IF(C91="Collision Liability",RANDBETWEEN(20000,100000),IF(C91="Environmental Pollution",RANDBETWEEN(50000,120000),IF(C91="Damage to Other Vessels",RANDBETWEEN(15000,90000),IF(C91="Injury to Third Parties",RANDBETWEEN(5000,60000))))))</f>
        <v>94256</v>
      </c>
      <c r="M91" s="77">
        <v>4</v>
      </c>
      <c r="N91" s="77">
        <f>IF(YEAR(B91)=2023, 1.03,
   IF(YEAR(B91)=2022, 1.0506,
   IF(YEAR(B91)=2021, 1.071612,
   IF(YEAR(B91)=2020, 1.10376036,
   IF(YEAR(B91)=2019, 1.1479107744,
   IF(YEAR(B91)=2018, 1.20530631312, 1))))))</f>
        <v>1.071612</v>
      </c>
      <c r="O91" s="22">
        <f t="shared" si="6"/>
        <v>650143.84986071999</v>
      </c>
      <c r="P91" s="22">
        <f t="shared" si="7"/>
        <v>617296.26986072003</v>
      </c>
      <c r="Q91" s="24">
        <f t="shared" si="8"/>
        <v>617296.26986072003</v>
      </c>
      <c r="R91" s="67">
        <f t="shared" si="9"/>
        <v>1</v>
      </c>
      <c r="S91" s="77">
        <f t="shared" si="10"/>
        <v>2021</v>
      </c>
    </row>
    <row r="92" spans="1:19">
      <c r="A92" s="77" t="s">
        <v>146</v>
      </c>
      <c r="B92" s="1">
        <v>44186</v>
      </c>
      <c r="C92" s="77" t="s">
        <v>31</v>
      </c>
      <c r="D92" s="3">
        <v>683849.75</v>
      </c>
      <c r="E92" s="77" t="s">
        <v>21</v>
      </c>
      <c r="F92" s="21">
        <f t="shared" si="5"/>
        <v>721798.13</v>
      </c>
      <c r="G92" s="70">
        <v>5000000</v>
      </c>
      <c r="H92" s="3">
        <v>37948.379999999997</v>
      </c>
      <c r="I92" s="77" t="s">
        <v>32</v>
      </c>
      <c r="J92" s="77" t="s">
        <v>23</v>
      </c>
      <c r="K92" s="77" t="s">
        <v>46</v>
      </c>
      <c r="L92" s="77">
        <f ca="1">IF(C92="Cargo Liability",RANDBETWEEN(10000,80000),IF(C92="Collision Liability",RANDBETWEEN(20000,100000),IF(C92="Environmental Pollution",RANDBETWEEN(50000,120000),IF(C92="Damage to Other Vessels",RANDBETWEEN(15000,90000),IF(C92="Injury to Third Parties",RANDBETWEEN(5000,60000))))))</f>
        <v>39584</v>
      </c>
      <c r="M92" s="77">
        <v>5</v>
      </c>
      <c r="N92" s="77">
        <f>IF(YEAR(B92)=2023, 1.03,
   IF(YEAR(B92)=2022, 1.0506,
   IF(YEAR(B92)=2021, 1.071612,
   IF(YEAR(B92)=2020, 1.10376036,
   IF(YEAR(B92)=2019, 1.1479107744,
   IF(YEAR(B92)=2018, 1.20530631312, 1))))))</f>
        <v>1.1037603600000001</v>
      </c>
      <c r="O92" s="22">
        <f t="shared" si="6"/>
        <v>796692.16381612688</v>
      </c>
      <c r="P92" s="22">
        <f t="shared" si="7"/>
        <v>758743.78381612687</v>
      </c>
      <c r="Q92" s="24">
        <f t="shared" si="8"/>
        <v>758743.78381612687</v>
      </c>
      <c r="R92" s="67">
        <f t="shared" si="9"/>
        <v>1</v>
      </c>
      <c r="S92" s="77">
        <f t="shared" si="10"/>
        <v>2020</v>
      </c>
    </row>
    <row r="93" spans="1:19">
      <c r="A93" s="77" t="s">
        <v>147</v>
      </c>
      <c r="B93" s="1">
        <v>44704</v>
      </c>
      <c r="C93" s="77" t="s">
        <v>36</v>
      </c>
      <c r="D93" s="3">
        <v>739849.45</v>
      </c>
      <c r="E93" s="77" t="s">
        <v>37</v>
      </c>
      <c r="F93" s="21">
        <f t="shared" si="5"/>
        <v>778796.89999999991</v>
      </c>
      <c r="G93" s="70">
        <v>5000000</v>
      </c>
      <c r="H93" s="3">
        <v>38947.449999999997</v>
      </c>
      <c r="I93" s="77" t="s">
        <v>38</v>
      </c>
      <c r="J93" s="77" t="s">
        <v>33</v>
      </c>
      <c r="K93" s="77" t="s">
        <v>40</v>
      </c>
      <c r="L93" s="77">
        <f ca="1">IF(C93="Cargo Liability",RANDBETWEEN(10000,80000),IF(C93="Collision Liability",RANDBETWEEN(20000,100000),IF(C93="Environmental Pollution",RANDBETWEEN(50000,120000),IF(C93="Damage to Other Vessels",RANDBETWEEN(15000,90000),IF(C93="Injury to Third Parties",RANDBETWEEN(5000,60000))))))</f>
        <v>74680</v>
      </c>
      <c r="M93" s="77">
        <v>6</v>
      </c>
      <c r="N93" s="77">
        <f>IF(YEAR(B93)=2023, 1.03,
   IF(YEAR(B93)=2022, 1.0506,
   IF(YEAR(B93)=2021, 1.071612,
   IF(YEAR(B93)=2020, 1.10376036,
   IF(YEAR(B93)=2019, 1.1479107744,
   IF(YEAR(B93)=2018, 1.20530631312, 1))))))</f>
        <v>1.0506</v>
      </c>
      <c r="O93" s="22">
        <f t="shared" si="6"/>
        <v>818204.02313999983</v>
      </c>
      <c r="P93" s="22">
        <f t="shared" si="7"/>
        <v>779256.57313999988</v>
      </c>
      <c r="Q93" s="24">
        <f t="shared" si="8"/>
        <v>779256.57313999988</v>
      </c>
      <c r="R93" s="67">
        <f t="shared" si="9"/>
        <v>1</v>
      </c>
      <c r="S93" s="77">
        <f t="shared" si="10"/>
        <v>2022</v>
      </c>
    </row>
    <row r="94" spans="1:19">
      <c r="A94" s="77" t="s">
        <v>148</v>
      </c>
      <c r="B94" s="1">
        <v>43726</v>
      </c>
      <c r="C94" s="77" t="s">
        <v>26</v>
      </c>
      <c r="D94" s="3">
        <v>573839.54</v>
      </c>
      <c r="E94" s="77" t="s">
        <v>21</v>
      </c>
      <c r="F94" s="21">
        <f t="shared" si="5"/>
        <v>601678.92000000004</v>
      </c>
      <c r="G94" s="70">
        <v>5000000</v>
      </c>
      <c r="H94" s="3">
        <v>27839.38</v>
      </c>
      <c r="I94" s="77" t="s">
        <v>27</v>
      </c>
      <c r="J94" s="77" t="s">
        <v>28</v>
      </c>
      <c r="K94" s="77" t="s">
        <v>65</v>
      </c>
      <c r="L94" s="77">
        <f ca="1">IF(C94="Cargo Liability",RANDBETWEEN(10000,80000),IF(C94="Collision Liability",RANDBETWEEN(20000,100000),IF(C94="Environmental Pollution",RANDBETWEEN(50000,120000),IF(C94="Damage to Other Vessels",RANDBETWEEN(15000,90000),IF(C94="Injury to Third Parties",RANDBETWEEN(5000,60000))))))</f>
        <v>46971</v>
      </c>
      <c r="M94" s="77">
        <v>3</v>
      </c>
      <c r="N94" s="77">
        <f>IF(YEAR(B94)=2023, 1.03,
   IF(YEAR(B94)=2022, 1.0506,
   IF(YEAR(B94)=2021, 1.071612,
   IF(YEAR(B94)=2020, 1.10376036,
   IF(YEAR(B94)=2019, 1.1479107744,
   IF(YEAR(B94)=2018, 1.20530631312, 1))))))</f>
        <v>1.1479107743999999</v>
      </c>
      <c r="O94" s="22">
        <f t="shared" si="6"/>
        <v>690673.71499735559</v>
      </c>
      <c r="P94" s="22">
        <f t="shared" si="7"/>
        <v>662834.33499735559</v>
      </c>
      <c r="Q94" s="24">
        <f t="shared" si="8"/>
        <v>662834.33499735559</v>
      </c>
      <c r="R94" s="67">
        <f t="shared" si="9"/>
        <v>1</v>
      </c>
      <c r="S94" s="77">
        <f t="shared" si="10"/>
        <v>2019</v>
      </c>
    </row>
    <row r="95" spans="1:19">
      <c r="A95" s="77" t="s">
        <v>149</v>
      </c>
      <c r="B95" s="1">
        <v>45109</v>
      </c>
      <c r="C95" s="77" t="s">
        <v>42</v>
      </c>
      <c r="D95" s="3">
        <v>572839.44999999995</v>
      </c>
      <c r="E95" s="77" t="s">
        <v>21</v>
      </c>
      <c r="F95" s="21">
        <f t="shared" si="5"/>
        <v>605786.89999999991</v>
      </c>
      <c r="G95" s="70">
        <v>5000000</v>
      </c>
      <c r="H95" s="3">
        <v>32947.449999999997</v>
      </c>
      <c r="I95" s="77" t="s">
        <v>22</v>
      </c>
      <c r="J95" s="77" t="s">
        <v>48</v>
      </c>
      <c r="K95" s="77" t="s">
        <v>69</v>
      </c>
      <c r="L95" s="77">
        <f ca="1">IF(C95="Cargo Liability",RANDBETWEEN(10000,80000),IF(C95="Collision Liability",RANDBETWEEN(20000,100000),IF(C95="Environmental Pollution",RANDBETWEEN(50000,120000),IF(C95="Damage to Other Vessels",RANDBETWEEN(15000,90000),IF(C95="Injury to Third Parties",RANDBETWEEN(5000,60000))))))</f>
        <v>51247</v>
      </c>
      <c r="M95" s="77">
        <v>4</v>
      </c>
      <c r="N95" s="77">
        <f>IF(YEAR(B95)=2023, 1.03,
   IF(YEAR(B95)=2022, 1.0506,
   IF(YEAR(B95)=2021, 1.071612,
   IF(YEAR(B95)=2020, 1.10376036,
   IF(YEAR(B95)=2019, 1.1479107744,
   IF(YEAR(B95)=2018, 1.20530631312, 1))))))</f>
        <v>1.03</v>
      </c>
      <c r="O95" s="22">
        <f t="shared" si="6"/>
        <v>623960.50699999987</v>
      </c>
      <c r="P95" s="22">
        <f t="shared" si="7"/>
        <v>591013.05699999991</v>
      </c>
      <c r="Q95" s="24">
        <f t="shared" si="8"/>
        <v>591013.05699999991</v>
      </c>
      <c r="R95" s="67">
        <f t="shared" si="9"/>
        <v>1</v>
      </c>
      <c r="S95" s="77">
        <f t="shared" si="10"/>
        <v>2023</v>
      </c>
    </row>
    <row r="96" spans="1:19">
      <c r="A96" s="77" t="s">
        <v>150</v>
      </c>
      <c r="B96" s="1">
        <v>44281</v>
      </c>
      <c r="C96" s="77" t="s">
        <v>20</v>
      </c>
      <c r="D96" s="3">
        <v>793849.23</v>
      </c>
      <c r="E96" s="77" t="s">
        <v>37</v>
      </c>
      <c r="F96" s="21">
        <f t="shared" si="5"/>
        <v>823331.71</v>
      </c>
      <c r="G96" s="70">
        <v>5000000</v>
      </c>
      <c r="H96" s="3">
        <v>29482.48</v>
      </c>
      <c r="I96" s="77" t="s">
        <v>27</v>
      </c>
      <c r="J96" s="77" t="s">
        <v>39</v>
      </c>
      <c r="K96" s="77" t="s">
        <v>75</v>
      </c>
      <c r="L96" s="77">
        <f ca="1">IF(C96="Cargo Liability",RANDBETWEEN(10000,80000),IF(C96="Collision Liability",RANDBETWEEN(20000,100000),IF(C96="Environmental Pollution",RANDBETWEEN(50000,120000),IF(C96="Damage to Other Vessels",RANDBETWEEN(15000,90000),IF(C96="Injury to Third Parties",RANDBETWEEN(5000,60000))))))</f>
        <v>24493</v>
      </c>
      <c r="M96" s="77">
        <v>3</v>
      </c>
      <c r="N96" s="77">
        <f>IF(YEAR(B96)=2023, 1.03,
   IF(YEAR(B96)=2022, 1.0506,
   IF(YEAR(B96)=2021, 1.071612,
   IF(YEAR(B96)=2020, 1.10376036,
   IF(YEAR(B96)=2019, 1.1479107744,
   IF(YEAR(B96)=2018, 1.20530631312, 1))))))</f>
        <v>1.071612</v>
      </c>
      <c r="O96" s="22">
        <f t="shared" si="6"/>
        <v>882292.14041651995</v>
      </c>
      <c r="P96" s="22">
        <f t="shared" si="7"/>
        <v>852809.66041651997</v>
      </c>
      <c r="Q96" s="24">
        <f t="shared" si="8"/>
        <v>852809.66041651997</v>
      </c>
      <c r="R96" s="67">
        <f t="shared" si="9"/>
        <v>1</v>
      </c>
      <c r="S96" s="77">
        <f t="shared" si="10"/>
        <v>2021</v>
      </c>
    </row>
    <row r="97" spans="1:19">
      <c r="A97" s="77" t="s">
        <v>151</v>
      </c>
      <c r="B97" s="1">
        <v>43890</v>
      </c>
      <c r="C97" s="77" t="s">
        <v>31</v>
      </c>
      <c r="D97" s="3">
        <v>573849.48</v>
      </c>
      <c r="E97" s="77" t="s">
        <v>21</v>
      </c>
      <c r="F97" s="21">
        <f t="shared" si="5"/>
        <v>606697.05999999994</v>
      </c>
      <c r="G97" s="70">
        <v>5000000</v>
      </c>
      <c r="H97" s="3">
        <v>32847.58</v>
      </c>
      <c r="I97" s="77" t="s">
        <v>32</v>
      </c>
      <c r="J97" s="77" t="s">
        <v>23</v>
      </c>
      <c r="K97" s="77" t="s">
        <v>57</v>
      </c>
      <c r="L97" s="77">
        <f ca="1">IF(C97="Cargo Liability",RANDBETWEEN(10000,80000),IF(C97="Collision Liability",RANDBETWEEN(20000,100000),IF(C97="Environmental Pollution",RANDBETWEEN(50000,120000),IF(C97="Damage to Other Vessels",RANDBETWEEN(15000,90000),IF(C97="Injury to Third Parties",RANDBETWEEN(5000,60000))))))</f>
        <v>33349</v>
      </c>
      <c r="M97" s="77">
        <v>6</v>
      </c>
      <c r="N97" s="77">
        <f>IF(YEAR(B97)=2023, 1.03,
   IF(YEAR(B97)=2022, 1.0506,
   IF(YEAR(B97)=2021, 1.071612,
   IF(YEAR(B97)=2020, 1.10376036,
   IF(YEAR(B97)=2019, 1.1479107744,
   IF(YEAR(B97)=2018, 1.20530631312, 1))))))</f>
        <v>1.1037603600000001</v>
      </c>
      <c r="O97" s="22">
        <f t="shared" si="6"/>
        <v>669648.16535654163</v>
      </c>
      <c r="P97" s="22">
        <f t="shared" si="7"/>
        <v>636800.58535654168</v>
      </c>
      <c r="Q97" s="24">
        <f t="shared" si="8"/>
        <v>636800.58535654168</v>
      </c>
      <c r="R97" s="67">
        <f t="shared" si="9"/>
        <v>1</v>
      </c>
      <c r="S97" s="77">
        <f t="shared" si="10"/>
        <v>2020</v>
      </c>
    </row>
    <row r="98" spans="1:19">
      <c r="A98" s="77" t="s">
        <v>152</v>
      </c>
      <c r="B98" s="1">
        <v>43481</v>
      </c>
      <c r="C98" s="77" t="s">
        <v>36</v>
      </c>
      <c r="D98" s="3">
        <v>572839.44999999995</v>
      </c>
      <c r="E98" s="77" t="s">
        <v>21</v>
      </c>
      <c r="F98" s="21">
        <f t="shared" si="5"/>
        <v>605786.89999999991</v>
      </c>
      <c r="G98" s="70">
        <v>5000000</v>
      </c>
      <c r="H98" s="3">
        <v>32947.449999999997</v>
      </c>
      <c r="I98" s="77" t="s">
        <v>38</v>
      </c>
      <c r="J98" s="77" t="s">
        <v>28</v>
      </c>
      <c r="K98" s="77" t="s">
        <v>44</v>
      </c>
      <c r="L98" s="77">
        <f ca="1">IF(C98="Cargo Liability",RANDBETWEEN(10000,80000),IF(C98="Collision Liability",RANDBETWEEN(20000,100000),IF(C98="Environmental Pollution",RANDBETWEEN(50000,120000),IF(C98="Damage to Other Vessels",RANDBETWEEN(15000,90000),IF(C98="Injury to Third Parties",RANDBETWEEN(5000,60000))))))</f>
        <v>97611</v>
      </c>
      <c r="M98" s="77">
        <v>5</v>
      </c>
      <c r="N98" s="77">
        <f>IF(YEAR(B98)=2023, 1.03,
   IF(YEAR(B98)=2022, 1.0506,
   IF(YEAR(B98)=2021, 1.071612,
   IF(YEAR(B98)=2020, 1.10376036,
   IF(YEAR(B98)=2019, 1.1479107744,
   IF(YEAR(B98)=2018, 1.20530631312, 1))))))</f>
        <v>1.1479107743999999</v>
      </c>
      <c r="O98" s="22">
        <f t="shared" si="6"/>
        <v>695389.30950037518</v>
      </c>
      <c r="P98" s="22">
        <f t="shared" si="7"/>
        <v>662441.85950037523</v>
      </c>
      <c r="Q98" s="24">
        <f t="shared" si="8"/>
        <v>662441.85950037523</v>
      </c>
      <c r="R98" s="67">
        <f t="shared" si="9"/>
        <v>1</v>
      </c>
      <c r="S98" s="77">
        <f t="shared" si="10"/>
        <v>2019</v>
      </c>
    </row>
    <row r="99" spans="1:19">
      <c r="A99" s="77" t="s">
        <v>153</v>
      </c>
      <c r="B99" s="1">
        <v>44665</v>
      </c>
      <c r="C99" s="77" t="s">
        <v>26</v>
      </c>
      <c r="D99" s="3">
        <v>573839.54</v>
      </c>
      <c r="E99" s="77" t="s">
        <v>37</v>
      </c>
      <c r="F99" s="21">
        <f t="shared" si="5"/>
        <v>601678.92000000004</v>
      </c>
      <c r="G99" s="70">
        <v>5000000</v>
      </c>
      <c r="H99" s="3">
        <v>27839.38</v>
      </c>
      <c r="I99" s="77" t="s">
        <v>27</v>
      </c>
      <c r="J99" s="77" t="s">
        <v>33</v>
      </c>
      <c r="K99" s="77" t="s">
        <v>53</v>
      </c>
      <c r="L99" s="77">
        <f ca="1">IF(C99="Cargo Liability",RANDBETWEEN(10000,80000),IF(C99="Collision Liability",RANDBETWEEN(20000,100000),IF(C99="Environmental Pollution",RANDBETWEEN(50000,120000),IF(C99="Damage to Other Vessels",RANDBETWEEN(15000,90000),IF(C99="Injury to Third Parties",RANDBETWEEN(5000,60000))))))</f>
        <v>61078</v>
      </c>
      <c r="M99" s="77">
        <v>3</v>
      </c>
      <c r="N99" s="77">
        <f>IF(YEAR(B99)=2023, 1.03,
   IF(YEAR(B99)=2022, 1.0506,
   IF(YEAR(B99)=2021, 1.071612,
   IF(YEAR(B99)=2020, 1.10376036,
   IF(YEAR(B99)=2019, 1.1479107744,
   IF(YEAR(B99)=2018, 1.20530631312, 1))))))</f>
        <v>1.0506</v>
      </c>
      <c r="O99" s="22">
        <f t="shared" si="6"/>
        <v>632123.87335200002</v>
      </c>
      <c r="P99" s="22">
        <f t="shared" si="7"/>
        <v>604284.49335200002</v>
      </c>
      <c r="Q99" s="24">
        <f t="shared" si="8"/>
        <v>604284.49335200002</v>
      </c>
      <c r="R99" s="67">
        <f t="shared" si="9"/>
        <v>1</v>
      </c>
      <c r="S99" s="77">
        <f t="shared" si="10"/>
        <v>2022</v>
      </c>
    </row>
    <row r="100" spans="1:19">
      <c r="A100" s="77" t="s">
        <v>154</v>
      </c>
      <c r="B100" s="1">
        <v>45139</v>
      </c>
      <c r="C100" s="77" t="s">
        <v>42</v>
      </c>
      <c r="D100" s="3">
        <v>473839.25</v>
      </c>
      <c r="E100" s="77" t="s">
        <v>21</v>
      </c>
      <c r="F100" s="21">
        <f t="shared" si="5"/>
        <v>501321.63</v>
      </c>
      <c r="G100" s="70">
        <v>2000000</v>
      </c>
      <c r="H100" s="3">
        <v>27482.38</v>
      </c>
      <c r="I100" s="77" t="s">
        <v>22</v>
      </c>
      <c r="J100" s="77" t="s">
        <v>39</v>
      </c>
      <c r="K100" s="77" t="s">
        <v>63</v>
      </c>
      <c r="L100" s="77">
        <f ca="1">IF(C100="Cargo Liability",RANDBETWEEN(10000,80000),IF(C100="Collision Liability",RANDBETWEEN(20000,100000),IF(C100="Environmental Pollution",RANDBETWEEN(50000,120000),IF(C100="Damage to Other Vessels",RANDBETWEEN(15000,90000),IF(C100="Injury to Third Parties",RANDBETWEEN(5000,60000))))))</f>
        <v>55585</v>
      </c>
      <c r="M100" s="77">
        <v>4</v>
      </c>
      <c r="N100" s="77">
        <f>IF(YEAR(B100)=2023, 1.03,
   IF(YEAR(B100)=2022, 1.0506,
   IF(YEAR(B100)=2021, 1.071612,
   IF(YEAR(B100)=2020, 1.10376036,
   IF(YEAR(B100)=2019, 1.1479107744,
   IF(YEAR(B100)=2018, 1.20530631312, 1))))))</f>
        <v>1.03</v>
      </c>
      <c r="O100" s="22">
        <f t="shared" si="6"/>
        <v>516361.27890000003</v>
      </c>
      <c r="P100" s="22">
        <f t="shared" si="7"/>
        <v>488878.89890000003</v>
      </c>
      <c r="Q100" s="24">
        <f t="shared" si="8"/>
        <v>488878.89890000003</v>
      </c>
      <c r="R100" s="67">
        <f t="shared" si="9"/>
        <v>1</v>
      </c>
      <c r="S100" s="77">
        <f t="shared" si="10"/>
        <v>2023</v>
      </c>
    </row>
    <row r="101" spans="1:19">
      <c r="A101" s="77" t="s">
        <v>155</v>
      </c>
      <c r="B101" s="1">
        <v>44922</v>
      </c>
      <c r="C101" s="77" t="s">
        <v>36</v>
      </c>
      <c r="D101" s="3">
        <v>5000000</v>
      </c>
      <c r="E101" s="77" t="s">
        <v>43</v>
      </c>
      <c r="F101" s="21">
        <f t="shared" si="5"/>
        <v>5018723.79</v>
      </c>
      <c r="G101" s="70">
        <v>10000000</v>
      </c>
      <c r="H101" s="3">
        <v>18723.79</v>
      </c>
      <c r="I101" s="77" t="s">
        <v>38</v>
      </c>
      <c r="J101" s="77" t="s">
        <v>28</v>
      </c>
      <c r="K101" s="77" t="s">
        <v>69</v>
      </c>
      <c r="L101" s="77">
        <f ca="1">IF(C101="Cargo Liability",RANDBETWEEN(10000,80000),IF(C101="Collision Liability",RANDBETWEEN(20000,100000),IF(C101="Environmental Pollution",RANDBETWEEN(50000,120000),IF(C101="Damage to Other Vessels",RANDBETWEEN(15000,90000),IF(C101="Injury to Third Parties",RANDBETWEEN(5000,60000))))))</f>
        <v>58087</v>
      </c>
      <c r="M101" s="77">
        <v>9</v>
      </c>
      <c r="N101" s="77">
        <f>IF(YEAR(B101)=2023, 1.03,
   IF(YEAR(B101)=2022, 1.0506,
   IF(YEAR(B101)=2021, 1.071612,
   IF(YEAR(B101)=2020, 1.10376036,
   IF(YEAR(B101)=2019, 1.1479107744,
   IF(YEAR(B101)=2018, 1.20530631312, 1))))))</f>
        <v>1.0506</v>
      </c>
      <c r="O101" s="22">
        <f t="shared" si="6"/>
        <v>5272671.2137740003</v>
      </c>
      <c r="P101" s="22">
        <f t="shared" si="7"/>
        <v>5253947.4237740003</v>
      </c>
      <c r="Q101" s="24">
        <f t="shared" si="8"/>
        <v>5253947.4237740003</v>
      </c>
      <c r="R101" s="67">
        <f t="shared" si="9"/>
        <v>0</v>
      </c>
      <c r="S101" s="77">
        <f t="shared" si="10"/>
        <v>2022</v>
      </c>
    </row>
  </sheetData>
  <autoFilter ref="A1:S101" xr:uid="{7354DF57-728B-AA4E-9CFF-ED2615DD969F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24695-2E03-4843-A4AB-C395928551D0}">
  <dimension ref="B1:R128"/>
  <sheetViews>
    <sheetView topLeftCell="J62" workbookViewId="0">
      <selection activeCell="G102" sqref="G102"/>
    </sheetView>
  </sheetViews>
  <sheetFormatPr defaultColWidth="10.625" defaultRowHeight="15.95"/>
  <cols>
    <col min="1" max="1" width="4.25" customWidth="1"/>
    <col min="2" max="2" width="5" customWidth="1"/>
    <col min="3" max="3" width="27.5" customWidth="1"/>
    <col min="4" max="4" width="32.5" bestFit="1" customWidth="1"/>
    <col min="5" max="5" width="20" bestFit="1" customWidth="1"/>
    <col min="6" max="6" width="22.5" bestFit="1" customWidth="1"/>
    <col min="7" max="7" width="20.875" bestFit="1" customWidth="1"/>
    <col min="8" max="8" width="18.5" bestFit="1" customWidth="1"/>
    <col min="9" max="9" width="14" bestFit="1" customWidth="1"/>
    <col min="10" max="10" width="15" bestFit="1" customWidth="1"/>
    <col min="11" max="11" width="21.625" customWidth="1"/>
    <col min="12" max="17" width="15.875" customWidth="1"/>
    <col min="18" max="18" width="15" bestFit="1" customWidth="1"/>
    <col min="19" max="19" width="10.5" bestFit="1" customWidth="1"/>
    <col min="20" max="20" width="12.375" bestFit="1" customWidth="1"/>
    <col min="21" max="21" width="15" bestFit="1" customWidth="1"/>
    <col min="22" max="22" width="12.375" bestFit="1" customWidth="1"/>
    <col min="23" max="23" width="15" bestFit="1" customWidth="1"/>
    <col min="24" max="24" width="12.375" bestFit="1" customWidth="1"/>
    <col min="25" max="25" width="15" bestFit="1" customWidth="1"/>
    <col min="26" max="26" width="12.375" bestFit="1" customWidth="1"/>
    <col min="27" max="27" width="15" bestFit="1" customWidth="1"/>
    <col min="28" max="28" width="12.375" bestFit="1" customWidth="1"/>
    <col min="29" max="29" width="15" bestFit="1" customWidth="1"/>
    <col min="30" max="30" width="12.375" bestFit="1" customWidth="1"/>
    <col min="31" max="31" width="15" bestFit="1" customWidth="1"/>
    <col min="32" max="32" width="12.375" bestFit="1" customWidth="1"/>
    <col min="33" max="33" width="15" bestFit="1" customWidth="1"/>
    <col min="34" max="34" width="12.375" bestFit="1" customWidth="1"/>
    <col min="35" max="35" width="15" bestFit="1" customWidth="1"/>
    <col min="36" max="36" width="12.375" bestFit="1" customWidth="1"/>
    <col min="37" max="37" width="15" bestFit="1" customWidth="1"/>
    <col min="38" max="38" width="12.375" bestFit="1" customWidth="1"/>
    <col min="39" max="39" width="15" bestFit="1" customWidth="1"/>
    <col min="40" max="40" width="12.375" bestFit="1" customWidth="1"/>
    <col min="41" max="41" width="15" bestFit="1" customWidth="1"/>
    <col min="42" max="42" width="12.375" bestFit="1" customWidth="1"/>
    <col min="43" max="43" width="15" bestFit="1" customWidth="1"/>
    <col min="44" max="44" width="12.375" bestFit="1" customWidth="1"/>
    <col min="45" max="45" width="15" bestFit="1" customWidth="1"/>
    <col min="46" max="46" width="12.375" bestFit="1" customWidth="1"/>
    <col min="47" max="47" width="15" bestFit="1" customWidth="1"/>
    <col min="48" max="48" width="12.375" bestFit="1" customWidth="1"/>
    <col min="49" max="49" width="15" bestFit="1" customWidth="1"/>
    <col min="50" max="50" width="12.375" bestFit="1" customWidth="1"/>
    <col min="51" max="51" width="15" bestFit="1" customWidth="1"/>
    <col min="52" max="52" width="12.375" bestFit="1" customWidth="1"/>
    <col min="53" max="53" width="15" bestFit="1" customWidth="1"/>
    <col min="54" max="54" width="12.375" bestFit="1" customWidth="1"/>
    <col min="55" max="55" width="15" bestFit="1" customWidth="1"/>
    <col min="56" max="56" width="12.375" bestFit="1" customWidth="1"/>
    <col min="57" max="57" width="15" bestFit="1" customWidth="1"/>
    <col min="58" max="58" width="12.375" bestFit="1" customWidth="1"/>
    <col min="59" max="59" width="15" bestFit="1" customWidth="1"/>
    <col min="60" max="60" width="12.375" bestFit="1" customWidth="1"/>
    <col min="61" max="61" width="15" bestFit="1" customWidth="1"/>
    <col min="62" max="62" width="12.375" bestFit="1" customWidth="1"/>
    <col min="63" max="63" width="15" bestFit="1" customWidth="1"/>
    <col min="64" max="64" width="12.375" bestFit="1" customWidth="1"/>
    <col min="65" max="65" width="15" bestFit="1" customWidth="1"/>
    <col min="66" max="66" width="12.375" bestFit="1" customWidth="1"/>
    <col min="67" max="67" width="15" bestFit="1" customWidth="1"/>
    <col min="68" max="68" width="12.375" bestFit="1" customWidth="1"/>
    <col min="69" max="69" width="15" bestFit="1" customWidth="1"/>
    <col min="70" max="70" width="12.375" bestFit="1" customWidth="1"/>
    <col min="71" max="71" width="15" bestFit="1" customWidth="1"/>
    <col min="72" max="72" width="12.375" bestFit="1" customWidth="1"/>
    <col min="73" max="73" width="15" bestFit="1" customWidth="1"/>
    <col min="74" max="74" width="12.375" bestFit="1" customWidth="1"/>
    <col min="75" max="75" width="15" bestFit="1" customWidth="1"/>
    <col min="76" max="76" width="12.375" bestFit="1" customWidth="1"/>
    <col min="77" max="77" width="15" bestFit="1" customWidth="1"/>
    <col min="78" max="78" width="12.375" bestFit="1" customWidth="1"/>
    <col min="79" max="79" width="15" bestFit="1" customWidth="1"/>
    <col min="80" max="80" width="12.375" bestFit="1" customWidth="1"/>
    <col min="81" max="81" width="15" bestFit="1" customWidth="1"/>
    <col min="82" max="82" width="12.375" bestFit="1" customWidth="1"/>
    <col min="83" max="83" width="15" bestFit="1" customWidth="1"/>
    <col min="84" max="84" width="12.375" bestFit="1" customWidth="1"/>
    <col min="85" max="85" width="15" bestFit="1" customWidth="1"/>
    <col min="86" max="86" width="12.375" bestFit="1" customWidth="1"/>
    <col min="87" max="87" width="15" bestFit="1" customWidth="1"/>
    <col min="88" max="88" width="12.375" bestFit="1" customWidth="1"/>
    <col min="89" max="89" width="15" bestFit="1" customWidth="1"/>
    <col min="90" max="90" width="12.375" bestFit="1" customWidth="1"/>
    <col min="91" max="91" width="15" bestFit="1" customWidth="1"/>
    <col min="92" max="92" width="12.375" bestFit="1" customWidth="1"/>
    <col min="93" max="93" width="15" bestFit="1" customWidth="1"/>
    <col min="94" max="94" width="12.375" bestFit="1" customWidth="1"/>
    <col min="95" max="95" width="15" bestFit="1" customWidth="1"/>
    <col min="96" max="96" width="12.375" bestFit="1" customWidth="1"/>
    <col min="97" max="97" width="15" bestFit="1" customWidth="1"/>
    <col min="98" max="98" width="12.375" bestFit="1" customWidth="1"/>
    <col min="99" max="99" width="15" bestFit="1" customWidth="1"/>
    <col min="100" max="100" width="12.375" bestFit="1" customWidth="1"/>
    <col min="101" max="101" width="15" bestFit="1" customWidth="1"/>
    <col min="102" max="102" width="12.375" bestFit="1" customWidth="1"/>
    <col min="103" max="103" width="15" bestFit="1" customWidth="1"/>
    <col min="104" max="104" width="12.375" bestFit="1" customWidth="1"/>
    <col min="105" max="105" width="15" bestFit="1" customWidth="1"/>
    <col min="106" max="106" width="12.375" bestFit="1" customWidth="1"/>
    <col min="107" max="107" width="15" bestFit="1" customWidth="1"/>
    <col min="108" max="108" width="12.375" bestFit="1" customWidth="1"/>
    <col min="109" max="109" width="15" bestFit="1" customWidth="1"/>
    <col min="110" max="110" width="12.375" bestFit="1" customWidth="1"/>
    <col min="111" max="111" width="15" bestFit="1" customWidth="1"/>
    <col min="112" max="112" width="12.375" bestFit="1" customWidth="1"/>
    <col min="113" max="113" width="15" bestFit="1" customWidth="1"/>
    <col min="114" max="114" width="12.375" bestFit="1" customWidth="1"/>
    <col min="115" max="115" width="15" bestFit="1" customWidth="1"/>
    <col min="116" max="116" width="12.375" bestFit="1" customWidth="1"/>
    <col min="117" max="117" width="15" bestFit="1" customWidth="1"/>
    <col min="118" max="118" width="12.375" bestFit="1" customWidth="1"/>
    <col min="119" max="119" width="15" bestFit="1" customWidth="1"/>
    <col min="120" max="120" width="12.375" bestFit="1" customWidth="1"/>
    <col min="121" max="121" width="15" bestFit="1" customWidth="1"/>
    <col min="122" max="122" width="12.375" bestFit="1" customWidth="1"/>
    <col min="123" max="123" width="15" bestFit="1" customWidth="1"/>
    <col min="124" max="124" width="12.375" bestFit="1" customWidth="1"/>
    <col min="125" max="125" width="15" bestFit="1" customWidth="1"/>
    <col min="126" max="126" width="12.375" bestFit="1" customWidth="1"/>
    <col min="127" max="127" width="15" bestFit="1" customWidth="1"/>
    <col min="128" max="128" width="12.375" bestFit="1" customWidth="1"/>
    <col min="129" max="129" width="15" bestFit="1" customWidth="1"/>
    <col min="130" max="130" width="12.375" bestFit="1" customWidth="1"/>
    <col min="131" max="131" width="15" bestFit="1" customWidth="1"/>
    <col min="132" max="132" width="12.375" bestFit="1" customWidth="1"/>
    <col min="133" max="133" width="15" bestFit="1" customWidth="1"/>
    <col min="134" max="134" width="12.375" bestFit="1" customWidth="1"/>
    <col min="135" max="135" width="15" bestFit="1" customWidth="1"/>
    <col min="136" max="136" width="12.375" bestFit="1" customWidth="1"/>
    <col min="137" max="137" width="15" bestFit="1" customWidth="1"/>
    <col min="138" max="138" width="12.375" bestFit="1" customWidth="1"/>
    <col min="139" max="139" width="15" bestFit="1" customWidth="1"/>
    <col min="140" max="140" width="12.375" bestFit="1" customWidth="1"/>
    <col min="141" max="141" width="15" bestFit="1" customWidth="1"/>
    <col min="142" max="142" width="12.375" bestFit="1" customWidth="1"/>
    <col min="143" max="143" width="15" bestFit="1" customWidth="1"/>
    <col min="144" max="144" width="12.375" bestFit="1" customWidth="1"/>
    <col min="145" max="145" width="15" bestFit="1" customWidth="1"/>
    <col min="146" max="146" width="12.375" bestFit="1" customWidth="1"/>
    <col min="147" max="147" width="15" bestFit="1" customWidth="1"/>
    <col min="148" max="148" width="12.375" bestFit="1" customWidth="1"/>
    <col min="149" max="149" width="15" bestFit="1" customWidth="1"/>
    <col min="150" max="150" width="12.375" bestFit="1" customWidth="1"/>
    <col min="151" max="151" width="15" bestFit="1" customWidth="1"/>
    <col min="152" max="152" width="12.375" bestFit="1" customWidth="1"/>
    <col min="153" max="153" width="15" bestFit="1" customWidth="1"/>
    <col min="154" max="154" width="12.375" bestFit="1" customWidth="1"/>
    <col min="155" max="155" width="15" bestFit="1" customWidth="1"/>
    <col min="156" max="156" width="12.375" bestFit="1" customWidth="1"/>
    <col min="157" max="157" width="15" bestFit="1" customWidth="1"/>
    <col min="158" max="158" width="12.375" bestFit="1" customWidth="1"/>
    <col min="159" max="159" width="15" bestFit="1" customWidth="1"/>
    <col min="160" max="160" width="12.375" bestFit="1" customWidth="1"/>
    <col min="161" max="161" width="15" bestFit="1" customWidth="1"/>
    <col min="162" max="162" width="12.375" bestFit="1" customWidth="1"/>
    <col min="163" max="163" width="15" bestFit="1" customWidth="1"/>
    <col min="164" max="164" width="12.375" bestFit="1" customWidth="1"/>
    <col min="165" max="165" width="15" bestFit="1" customWidth="1"/>
    <col min="166" max="166" width="12.375" bestFit="1" customWidth="1"/>
    <col min="167" max="167" width="15" bestFit="1" customWidth="1"/>
    <col min="168" max="168" width="12.375" bestFit="1" customWidth="1"/>
    <col min="169" max="169" width="15" bestFit="1" customWidth="1"/>
    <col min="170" max="170" width="12.375" bestFit="1" customWidth="1"/>
    <col min="171" max="171" width="15" bestFit="1" customWidth="1"/>
    <col min="172" max="172" width="12.375" bestFit="1" customWidth="1"/>
    <col min="173" max="173" width="15" bestFit="1" customWidth="1"/>
    <col min="174" max="174" width="12.375" bestFit="1" customWidth="1"/>
    <col min="175" max="175" width="15" bestFit="1" customWidth="1"/>
    <col min="176" max="176" width="12.375" bestFit="1" customWidth="1"/>
    <col min="177" max="177" width="15" bestFit="1" customWidth="1"/>
    <col min="178" max="178" width="12.375" bestFit="1" customWidth="1"/>
    <col min="179" max="179" width="15" bestFit="1" customWidth="1"/>
    <col min="180" max="180" width="12.375" bestFit="1" customWidth="1"/>
    <col min="181" max="181" width="15" bestFit="1" customWidth="1"/>
    <col min="182" max="182" width="12.375" bestFit="1" customWidth="1"/>
    <col min="183" max="183" width="15" bestFit="1" customWidth="1"/>
    <col min="184" max="184" width="12.375" bestFit="1" customWidth="1"/>
    <col min="185" max="185" width="15" bestFit="1" customWidth="1"/>
    <col min="186" max="186" width="12.375" bestFit="1" customWidth="1"/>
    <col min="187" max="187" width="15" bestFit="1" customWidth="1"/>
    <col min="188" max="188" width="12.375" bestFit="1" customWidth="1"/>
    <col min="189" max="189" width="15" bestFit="1" customWidth="1"/>
    <col min="190" max="190" width="12.375" bestFit="1" customWidth="1"/>
    <col min="191" max="191" width="15" bestFit="1" customWidth="1"/>
    <col min="192" max="192" width="12.375" bestFit="1" customWidth="1"/>
    <col min="193" max="193" width="15" bestFit="1" customWidth="1"/>
    <col min="194" max="194" width="12.375" bestFit="1" customWidth="1"/>
    <col min="195" max="195" width="15" bestFit="1" customWidth="1"/>
    <col min="196" max="196" width="12.375" bestFit="1" customWidth="1"/>
    <col min="197" max="197" width="15" bestFit="1" customWidth="1"/>
    <col min="198" max="198" width="12.375" bestFit="1" customWidth="1"/>
    <col min="199" max="199" width="15" bestFit="1" customWidth="1"/>
    <col min="200" max="200" width="12.375" bestFit="1" customWidth="1"/>
    <col min="201" max="201" width="15" bestFit="1" customWidth="1"/>
    <col min="202" max="202" width="12.375" bestFit="1" customWidth="1"/>
    <col min="203" max="203" width="15" bestFit="1" customWidth="1"/>
    <col min="204" max="204" width="8.625" bestFit="1" customWidth="1"/>
    <col min="205" max="205" width="11.375" bestFit="1" customWidth="1"/>
    <col min="206" max="206" width="10.5" bestFit="1" customWidth="1"/>
  </cols>
  <sheetData>
    <row r="1" spans="2:18" s="26" customFormat="1" ht="16.5" customHeight="1"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</row>
    <row r="2" spans="2:18" ht="16.5" customHeight="1">
      <c r="B2" s="77"/>
      <c r="C2" s="37" t="s">
        <v>156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</row>
    <row r="3" spans="2:18" ht="16.5" customHeight="1"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</row>
    <row r="4" spans="2:18" ht="16.5" customHeight="1">
      <c r="B4" s="77"/>
      <c r="C4" s="77"/>
      <c r="D4" s="77"/>
      <c r="E4" s="77"/>
      <c r="F4" s="77"/>
      <c r="G4" s="77"/>
      <c r="H4" s="77"/>
      <c r="I4" s="77"/>
      <c r="J4" s="77"/>
      <c r="K4" s="34" t="s">
        <v>157</v>
      </c>
      <c r="L4" s="77"/>
      <c r="M4" s="77"/>
      <c r="N4" s="77"/>
      <c r="O4" s="77"/>
      <c r="P4" s="77"/>
      <c r="Q4" s="77"/>
      <c r="R4" s="77"/>
    </row>
    <row r="5" spans="2:18">
      <c r="B5" s="19"/>
      <c r="C5" s="36" t="s">
        <v>158</v>
      </c>
      <c r="D5" s="33"/>
      <c r="E5" s="33"/>
      <c r="F5" s="77"/>
      <c r="G5" s="77"/>
      <c r="H5" s="77"/>
      <c r="I5" s="77"/>
      <c r="J5" s="77"/>
      <c r="K5" s="17" t="s">
        <v>159</v>
      </c>
      <c r="L5" s="77"/>
      <c r="M5" s="77"/>
      <c r="N5" s="77"/>
      <c r="O5" s="77"/>
      <c r="P5" s="77"/>
      <c r="Q5" s="77"/>
      <c r="R5" s="77"/>
    </row>
    <row r="6" spans="2:18" ht="15.75">
      <c r="B6" s="19">
        <v>1</v>
      </c>
      <c r="C6" s="19" t="s">
        <v>160</v>
      </c>
      <c r="D6" s="33"/>
      <c r="E6" s="33"/>
      <c r="F6" s="77"/>
      <c r="G6" s="77"/>
      <c r="H6" s="77"/>
      <c r="I6" s="77"/>
      <c r="J6" s="77"/>
      <c r="K6" s="99"/>
      <c r="L6" s="100">
        <v>2018</v>
      </c>
      <c r="M6" s="100">
        <v>2019</v>
      </c>
      <c r="N6" s="100">
        <v>2020</v>
      </c>
      <c r="O6" s="100">
        <v>2021</v>
      </c>
      <c r="P6" s="100">
        <v>2022</v>
      </c>
      <c r="Q6" s="100">
        <v>2023</v>
      </c>
      <c r="R6" s="77"/>
    </row>
    <row r="7" spans="2:18" ht="15.75">
      <c r="B7" s="19">
        <v>2</v>
      </c>
      <c r="C7" s="19" t="s">
        <v>161</v>
      </c>
      <c r="D7" s="33"/>
      <c r="E7" s="33"/>
      <c r="F7" s="77"/>
      <c r="G7" s="77"/>
      <c r="H7" s="77"/>
      <c r="I7" s="77"/>
      <c r="J7" s="77"/>
      <c r="K7" s="101" t="s">
        <v>28</v>
      </c>
      <c r="L7" s="102">
        <f>SUMIFS('Claims Data'!$Q$2:$Q$101,'Claims Data'!$J$2:$J$101,$K7,'Claims Data'!$S$2:$S$101,L$6)</f>
        <v>2142028.3530630278</v>
      </c>
      <c r="M7" s="102">
        <f>SUMIFS('Claims Data'!$Q$2:$Q$101,'Claims Data'!$J$2:$J$101,$K7,'Claims Data'!$S$2:$S$101,M$6)</f>
        <v>3078681.2639513393</v>
      </c>
      <c r="N7" s="102">
        <f>SUMIFS('Claims Data'!$Q$2:$Q$101,'Claims Data'!$J$2:$J$101,$K7,'Claims Data'!$S$2:$S$101,N$6)</f>
        <v>2384580.542741511</v>
      </c>
      <c r="O7" s="102">
        <f>SUMIFS('Claims Data'!$Q$2:$Q$101,'Claims Data'!$J$2:$J$101,$K7,'Claims Data'!$S$2:$S$101,O$6)</f>
        <v>3164451.8635344403</v>
      </c>
      <c r="P7" s="102">
        <f>SUMIFS('Claims Data'!$Q$2:$Q$101,'Claims Data'!$J$2:$J$101,$K7,'Claims Data'!$S$2:$S$101,P$6)</f>
        <v>7283308.5898000002</v>
      </c>
      <c r="Q7" s="102">
        <f>SUMIFS('Claims Data'!$Q$2:$Q$101,'Claims Data'!$J$2:$J$101,$K7,'Claims Data'!$S$2:$S$101,Q$6)</f>
        <v>1459094.6686999998</v>
      </c>
      <c r="R7" s="77"/>
    </row>
    <row r="8" spans="2:18" ht="15.75">
      <c r="B8" s="19">
        <v>3</v>
      </c>
      <c r="C8" s="19" t="s">
        <v>162</v>
      </c>
      <c r="D8" s="33"/>
      <c r="E8" s="33"/>
      <c r="F8" s="77"/>
      <c r="G8" s="77"/>
      <c r="H8" s="77"/>
      <c r="I8" s="77"/>
      <c r="J8" s="77"/>
      <c r="K8" s="101" t="s">
        <v>23</v>
      </c>
      <c r="L8" s="102">
        <f>SUMIFS('Claims Data'!$Q$2:$Q$101,'Claims Data'!$J$2:$J$101,$K8,'Claims Data'!$S$2:$S$101,L$6)</f>
        <v>345659.15481496957</v>
      </c>
      <c r="M8" s="102">
        <f>SUMIFS('Claims Data'!$Q$2:$Q$101,'Claims Data'!$J$2:$J$101,$K8,'Claims Data'!$S$2:$S$101,M$6)</f>
        <v>2703365.8435605606</v>
      </c>
      <c r="N8" s="102">
        <f>SUMIFS('Claims Data'!$Q$2:$Q$101,'Claims Data'!$J$2:$J$101,$K8,'Claims Data'!$S$2:$S$101,N$6)</f>
        <v>2791088.7383453371</v>
      </c>
      <c r="O8" s="102">
        <f>SUMIFS('Claims Data'!$Q$2:$Q$101,'Claims Data'!$J$2:$J$101,$K8,'Claims Data'!$S$2:$S$101,O$6)</f>
        <v>1255557.55549184</v>
      </c>
      <c r="P8" s="102">
        <f>SUMIFS('Claims Data'!$Q$2:$Q$101,'Claims Data'!$J$2:$J$101,$K8,'Claims Data'!$S$2:$S$101,P$6)</f>
        <v>1673107.8809119998</v>
      </c>
      <c r="Q8" s="102">
        <f>SUMIFS('Claims Data'!$Q$2:$Q$101,'Claims Data'!$J$2:$J$101,$K8,'Claims Data'!$S$2:$S$101,Q$6)</f>
        <v>103097.06539999999</v>
      </c>
      <c r="R8" s="77"/>
    </row>
    <row r="9" spans="2:18" ht="15.75">
      <c r="B9" s="33"/>
      <c r="C9" s="33"/>
      <c r="D9" s="33"/>
      <c r="E9" s="33"/>
      <c r="F9" s="77"/>
      <c r="G9" s="77"/>
      <c r="H9" s="77"/>
      <c r="I9" s="77"/>
      <c r="J9" s="77"/>
      <c r="K9" s="101" t="s">
        <v>33</v>
      </c>
      <c r="L9" s="102">
        <f>SUMIFS('Claims Data'!$Q$2:$Q$101,'Claims Data'!$J$2:$J$101,$K9,'Claims Data'!$S$2:$S$101,L$6)</f>
        <v>2038650.0930922804</v>
      </c>
      <c r="M9" s="102">
        <f>SUMIFS('Claims Data'!$Q$2:$Q$101,'Claims Data'!$J$2:$J$101,$K9,'Claims Data'!$S$2:$S$101,M$6)</f>
        <v>1402178.8199408767</v>
      </c>
      <c r="N9" s="102">
        <f>SUMIFS('Claims Data'!$Q$2:$Q$101,'Claims Data'!$J$2:$J$101,$K9,'Claims Data'!$S$2:$S$101,N$6)</f>
        <v>3983656.4300786904</v>
      </c>
      <c r="O9" s="102">
        <f>SUMIFS('Claims Data'!$Q$2:$Q$101,'Claims Data'!$J$2:$J$101,$K9,'Claims Data'!$S$2:$S$101,O$6)</f>
        <v>852809.66041651997</v>
      </c>
      <c r="P9" s="102">
        <f>SUMIFS('Claims Data'!$Q$2:$Q$101,'Claims Data'!$J$2:$J$101,$K9,'Claims Data'!$S$2:$S$101,P$6)</f>
        <v>3625547.243702</v>
      </c>
      <c r="Q9" s="102">
        <f>SUMIFS('Claims Data'!$Q$2:$Q$101,'Claims Data'!$J$2:$J$101,$K9,'Claims Data'!$S$2:$S$101,Q$6)</f>
        <v>816921.86390000011</v>
      </c>
      <c r="R9" s="77"/>
    </row>
    <row r="10" spans="2:18" ht="15.75">
      <c r="B10" s="33"/>
      <c r="C10" s="33"/>
      <c r="D10" s="33"/>
      <c r="E10" s="33"/>
      <c r="F10" s="77"/>
      <c r="G10" s="77"/>
      <c r="H10" s="77"/>
      <c r="I10" s="77"/>
      <c r="J10" s="77"/>
      <c r="K10" s="101" t="s">
        <v>48</v>
      </c>
      <c r="L10" s="102">
        <f>SUMIFS('Claims Data'!$Q$2:$Q$101,'Claims Data'!$J$2:$J$101,$K10,'Claims Data'!$S$2:$S$101,L$6)</f>
        <v>1901893.9615339828</v>
      </c>
      <c r="M10" s="102">
        <f>SUMIFS('Claims Data'!$Q$2:$Q$101,'Claims Data'!$J$2:$J$101,$K10,'Claims Data'!$S$2:$S$101,M$6)</f>
        <v>1623374.4714843191</v>
      </c>
      <c r="N10" s="102">
        <f>SUMIFS('Claims Data'!$Q$2:$Q$101,'Claims Data'!$J$2:$J$101,$K10,'Claims Data'!$S$2:$S$101,N$6)</f>
        <v>0</v>
      </c>
      <c r="O10" s="102">
        <f>SUMIFS('Claims Data'!$Q$2:$Q$101,'Claims Data'!$J$2:$J$101,$K10,'Claims Data'!$S$2:$S$101,O$6)</f>
        <v>1785612.8026580801</v>
      </c>
      <c r="P10" s="102">
        <f>SUMIFS('Claims Data'!$Q$2:$Q$101,'Claims Data'!$J$2:$J$101,$K10,'Claims Data'!$S$2:$S$101,P$6)</f>
        <v>1703600.6296979999</v>
      </c>
      <c r="Q10" s="102">
        <f>SUMIFS('Claims Data'!$Q$2:$Q$101,'Claims Data'!$J$2:$J$101,$K10,'Claims Data'!$S$2:$S$101,Q$6)</f>
        <v>3629817.9286000002</v>
      </c>
      <c r="R10" s="77"/>
    </row>
    <row r="11" spans="2:18" ht="15.75">
      <c r="B11" s="77"/>
      <c r="C11" s="77"/>
      <c r="D11" s="77"/>
      <c r="E11" s="77"/>
      <c r="F11" s="77"/>
      <c r="G11" s="77"/>
      <c r="H11" s="77"/>
      <c r="I11" s="77"/>
      <c r="J11" s="77"/>
      <c r="K11" s="101" t="s">
        <v>39</v>
      </c>
      <c r="L11" s="102">
        <f>SUMIFS('Claims Data'!$Q$2:$Q$101,'Claims Data'!$J$2:$J$101,$K11,'Claims Data'!$S$2:$S$101,L$6)</f>
        <v>0</v>
      </c>
      <c r="M11" s="102">
        <f>SUMIFS('Claims Data'!$Q$2:$Q$101,'Claims Data'!$J$2:$J$101,$K11,'Claims Data'!$S$2:$S$101,M$6)</f>
        <v>1557588.512059862</v>
      </c>
      <c r="N11" s="102">
        <f>SUMIFS('Claims Data'!$Q$2:$Q$101,'Claims Data'!$J$2:$J$101,$K11,'Claims Data'!$S$2:$S$101,N$6)</f>
        <v>2913916.5089356764</v>
      </c>
      <c r="O11" s="102">
        <f>SUMIFS('Claims Data'!$Q$2:$Q$101,'Claims Data'!$J$2:$J$101,$K11,'Claims Data'!$S$2:$S$101,O$6)</f>
        <v>4907895.4539492009</v>
      </c>
      <c r="P11" s="102">
        <f>SUMIFS('Claims Data'!$Q$2:$Q$101,'Claims Data'!$J$2:$J$101,$K11,'Claims Data'!$S$2:$S$101,P$6)</f>
        <v>720119.68831999996</v>
      </c>
      <c r="Q11" s="102">
        <f>SUMIFS('Claims Data'!$Q$2:$Q$101,'Claims Data'!$J$2:$J$101,$K11,'Claims Data'!$S$2:$S$101,Q$6)</f>
        <v>1436945.8825000001</v>
      </c>
      <c r="R11" s="77"/>
    </row>
    <row r="12" spans="2:18" ht="15.75">
      <c r="B12" s="77"/>
      <c r="C12" s="2" t="s">
        <v>163</v>
      </c>
      <c r="D12" s="77"/>
      <c r="E12" s="77"/>
      <c r="F12" s="77"/>
      <c r="G12" s="77"/>
      <c r="H12" s="77"/>
      <c r="I12" s="77"/>
      <c r="J12" s="77"/>
      <c r="K12" s="99" t="s">
        <v>164</v>
      </c>
      <c r="L12" s="103">
        <f>SUM(L7:L11)</f>
        <v>6428231.5625042599</v>
      </c>
      <c r="M12" s="103">
        <f>SUM(M7:M11)</f>
        <v>10365188.910996957</v>
      </c>
      <c r="N12" s="103">
        <f>SUM(N7:N11)</f>
        <v>12073242.220101215</v>
      </c>
      <c r="O12" s="103">
        <f>SUM(O7:O11)</f>
        <v>11966327.336050082</v>
      </c>
      <c r="P12" s="103">
        <f>SUM(P7:P11)</f>
        <v>15005684.032432001</v>
      </c>
      <c r="Q12" s="103">
        <f>SUM(Q7:Q11)</f>
        <v>7445877.4090999998</v>
      </c>
      <c r="R12" s="77"/>
    </row>
    <row r="13" spans="2:18" ht="15.75">
      <c r="B13" s="77"/>
      <c r="C13" s="91">
        <f>AVERAGE('Claims Data'!F2:F101)</f>
        <v>606718.30860000022</v>
      </c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35"/>
      <c r="O13" s="35"/>
      <c r="P13" s="77"/>
      <c r="Q13" s="77"/>
      <c r="R13" s="77"/>
    </row>
    <row r="14" spans="2:18"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35"/>
      <c r="O14" s="35"/>
      <c r="P14" s="77"/>
      <c r="Q14" s="77"/>
      <c r="R14" s="77"/>
    </row>
    <row r="15" spans="2:18">
      <c r="B15" s="77"/>
      <c r="C15" s="2" t="s">
        <v>165</v>
      </c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</row>
    <row r="16" spans="2:18" ht="15.75">
      <c r="B16" s="77"/>
      <c r="C16" s="91">
        <f>AVERAGE('Claims Data'!O2:O101)</f>
        <v>662235.24239276652</v>
      </c>
      <c r="D16" s="77"/>
      <c r="E16" s="77"/>
      <c r="F16" s="77"/>
      <c r="G16" s="77"/>
      <c r="H16" s="77"/>
      <c r="I16" s="77"/>
      <c r="J16" s="77"/>
      <c r="K16" s="17" t="s">
        <v>166</v>
      </c>
      <c r="L16" s="77"/>
      <c r="M16" s="77"/>
      <c r="N16" s="77"/>
      <c r="O16" s="77"/>
      <c r="P16" s="77"/>
      <c r="Q16" s="77"/>
      <c r="R16" s="77"/>
    </row>
    <row r="17" spans="2:18" ht="15.75">
      <c r="B17" s="77"/>
      <c r="C17" s="77"/>
      <c r="D17" s="77"/>
      <c r="E17" s="77"/>
      <c r="F17" s="77"/>
      <c r="G17" s="77"/>
      <c r="H17" s="77"/>
      <c r="I17" s="77"/>
      <c r="J17" s="77"/>
      <c r="K17" s="99"/>
      <c r="L17" s="100">
        <v>2018</v>
      </c>
      <c r="M17" s="100">
        <v>2019</v>
      </c>
      <c r="N17" s="100">
        <v>2020</v>
      </c>
      <c r="O17" s="100">
        <v>2021</v>
      </c>
      <c r="P17" s="100">
        <v>2022</v>
      </c>
      <c r="Q17" s="100">
        <v>2023</v>
      </c>
      <c r="R17" s="77"/>
    </row>
    <row r="18" spans="2:18" ht="15.75">
      <c r="B18" s="77"/>
      <c r="C18" s="2" t="s">
        <v>167</v>
      </c>
      <c r="D18" s="77"/>
      <c r="E18" s="77"/>
      <c r="F18" s="2"/>
      <c r="G18" s="77"/>
      <c r="H18" s="77"/>
      <c r="I18" s="77"/>
      <c r="J18" s="77"/>
      <c r="K18" s="101" t="s">
        <v>28</v>
      </c>
      <c r="L18" s="104">
        <f>COUNTIFS('Claims Data'!$J$2:$J$101,$K18,'Claims Data'!$S$2:$S$101,L$17)</f>
        <v>3</v>
      </c>
      <c r="M18" s="104">
        <f>COUNTIFS('Claims Data'!$J$2:$J$101,$K18,'Claims Data'!$S$2:$S$101,M$17)</f>
        <v>5</v>
      </c>
      <c r="N18" s="104">
        <f>COUNTIFS('Claims Data'!$J$2:$J$101,$K18,'Claims Data'!$S$2:$S$101,N$17)</f>
        <v>4</v>
      </c>
      <c r="O18" s="104">
        <f>COUNTIFS('Claims Data'!$J$2:$J$101,$K18,'Claims Data'!$S$2:$S$101,O$17)</f>
        <v>5</v>
      </c>
      <c r="P18" s="104">
        <f>COUNTIFS('Claims Data'!$J$2:$J$101,$K18,'Claims Data'!$S$2:$S$101,P$17)</f>
        <v>4</v>
      </c>
      <c r="Q18" s="104">
        <f>COUNTIFS('Claims Data'!$J$2:$J$101,$K18,'Claims Data'!$S$2:$S$101,Q$17)</f>
        <v>2</v>
      </c>
      <c r="R18" s="77"/>
    </row>
    <row r="19" spans="2:18" ht="15.75">
      <c r="B19" s="77"/>
      <c r="C19" s="92" t="s">
        <v>18</v>
      </c>
      <c r="D19" s="92" t="s">
        <v>168</v>
      </c>
      <c r="E19" s="92" t="s">
        <v>169</v>
      </c>
      <c r="F19" s="93" t="s">
        <v>170</v>
      </c>
      <c r="G19" s="77"/>
      <c r="H19" s="77"/>
      <c r="I19" s="77"/>
      <c r="J19" s="77"/>
      <c r="K19" s="101" t="s">
        <v>23</v>
      </c>
      <c r="L19" s="104">
        <f>COUNTIFS('Claims Data'!$J$2:$J$101,$K19,'Claims Data'!$S$2:$S$101,L$17)</f>
        <v>1</v>
      </c>
      <c r="M19" s="104">
        <f>COUNTIFS('Claims Data'!$J$2:$J$101,$K19,'Claims Data'!$S$2:$S$101,M$17)</f>
        <v>5</v>
      </c>
      <c r="N19" s="104">
        <f>COUNTIFS('Claims Data'!$J$2:$J$101,$K19,'Claims Data'!$S$2:$S$101,N$17)</f>
        <v>4</v>
      </c>
      <c r="O19" s="104">
        <f>COUNTIFS('Claims Data'!$J$2:$J$101,$K19,'Claims Data'!$S$2:$S$101,O$17)</f>
        <v>3</v>
      </c>
      <c r="P19" s="104">
        <f>COUNTIFS('Claims Data'!$J$2:$J$101,$K19,'Claims Data'!$S$2:$S$101,P$17)</f>
        <v>4</v>
      </c>
      <c r="Q19" s="104">
        <f>COUNTIFS('Claims Data'!$J$2:$J$101,$K19,'Claims Data'!$S$2:$S$101,Q$17)</f>
        <v>1</v>
      </c>
      <c r="R19" s="77"/>
    </row>
    <row r="20" spans="2:18" ht="15.75">
      <c r="B20" s="77"/>
      <c r="C20" s="94">
        <v>2018</v>
      </c>
      <c r="D20" s="91">
        <f>AVERAGEIFS('Claims Data'!$O$2:$O$101,'Claims Data'!$S$2:$S$101,C20)</f>
        <v>669173.20322055672</v>
      </c>
      <c r="E20" s="94">
        <f>COUNTIFS('Claims Data'!$S$2:$S$101,C20)</f>
        <v>10</v>
      </c>
      <c r="F20" s="98">
        <f>SUMIFS('Claims Data'!$O$2:$O$101,'Claims Data'!$S$2:$S$101,C20)</f>
        <v>6691732.0322055668</v>
      </c>
      <c r="G20" s="77"/>
      <c r="H20" s="77"/>
      <c r="I20" s="77"/>
      <c r="J20" s="77"/>
      <c r="K20" s="101" t="s">
        <v>33</v>
      </c>
      <c r="L20" s="104">
        <f>COUNTIFS('Claims Data'!$J$2:$J$101,$K20,'Claims Data'!$S$2:$S$101,L$17)</f>
        <v>3</v>
      </c>
      <c r="M20" s="104">
        <f>COUNTIFS('Claims Data'!$J$2:$J$101,$K20,'Claims Data'!$S$2:$S$101,M$17)</f>
        <v>2</v>
      </c>
      <c r="N20" s="104">
        <f>COUNTIFS('Claims Data'!$J$2:$J$101,$K20,'Claims Data'!$S$2:$S$101,N$17)</f>
        <v>6</v>
      </c>
      <c r="O20" s="104">
        <f>COUNTIFS('Claims Data'!$J$2:$J$101,$K20,'Claims Data'!$S$2:$S$101,O$17)</f>
        <v>1</v>
      </c>
      <c r="P20" s="104">
        <f>COUNTIFS('Claims Data'!$J$2:$J$101,$K20,'Claims Data'!$S$2:$S$101,P$17)</f>
        <v>5</v>
      </c>
      <c r="Q20" s="104">
        <f>COUNTIFS('Claims Data'!$J$2:$J$101,$K20,'Claims Data'!$S$2:$S$101,Q$17)</f>
        <v>2</v>
      </c>
      <c r="R20" s="77"/>
    </row>
    <row r="21" spans="2:18" ht="15.75">
      <c r="B21" s="77"/>
      <c r="C21" s="94">
        <v>2019</v>
      </c>
      <c r="D21" s="91">
        <f>AVERAGEIFS('Claims Data'!$O$2:$O$101,'Claims Data'!$S$2:$S$101,C21)</f>
        <v>639792.99937575357</v>
      </c>
      <c r="E21" s="94">
        <f>COUNTIFS('Claims Data'!$S$2:$S$101,C21)</f>
        <v>17</v>
      </c>
      <c r="F21" s="98">
        <f>SUMIFS('Claims Data'!$O$2:$O$101,'Claims Data'!$S$2:$S$101,C21)</f>
        <v>10876480.98938781</v>
      </c>
      <c r="G21" s="77"/>
      <c r="H21" s="77"/>
      <c r="I21" s="77"/>
      <c r="J21" s="77"/>
      <c r="K21" s="101" t="s">
        <v>48</v>
      </c>
      <c r="L21" s="104">
        <f>COUNTIFS('Claims Data'!$J$2:$J$101,$K21,'Claims Data'!$S$2:$S$101,L$17)</f>
        <v>3</v>
      </c>
      <c r="M21" s="104">
        <f>COUNTIFS('Claims Data'!$J$2:$J$101,$K21,'Claims Data'!$S$2:$S$101,M$17)</f>
        <v>3</v>
      </c>
      <c r="N21" s="104">
        <f>COUNTIFS('Claims Data'!$J$2:$J$101,$K21,'Claims Data'!$S$2:$S$101,N$17)</f>
        <v>0</v>
      </c>
      <c r="O21" s="104">
        <f>COUNTIFS('Claims Data'!$J$2:$J$101,$K21,'Claims Data'!$S$2:$S$101,O$17)</f>
        <v>3</v>
      </c>
      <c r="P21" s="104">
        <f>COUNTIFS('Claims Data'!$J$2:$J$101,$K21,'Claims Data'!$S$2:$S$101,P$17)</f>
        <v>3</v>
      </c>
      <c r="Q21" s="104">
        <f>COUNTIFS('Claims Data'!$J$2:$J$101,$K21,'Claims Data'!$S$2:$S$101,Q$17)</f>
        <v>8</v>
      </c>
      <c r="R21" s="77"/>
    </row>
    <row r="22" spans="2:18" ht="15.75">
      <c r="B22" s="77"/>
      <c r="C22" s="94">
        <v>2020</v>
      </c>
      <c r="D22" s="91">
        <f>AVERAGEIFS('Claims Data'!$O$2:$O$101,'Claims Data'!$S$2:$S$101,C22)</f>
        <v>636678.22750506061</v>
      </c>
      <c r="E22" s="94">
        <f>COUNTIFS('Claims Data'!$S$2:$S$101,C22)</f>
        <v>20</v>
      </c>
      <c r="F22" s="98">
        <f>SUMIFS('Claims Data'!$O$2:$O$101,'Claims Data'!$S$2:$S$101,C22)</f>
        <v>12733564.550101213</v>
      </c>
      <c r="G22" s="77"/>
      <c r="H22" s="77"/>
      <c r="I22" s="77"/>
      <c r="J22" s="77"/>
      <c r="K22" s="101" t="s">
        <v>39</v>
      </c>
      <c r="L22" s="104">
        <f>COUNTIFS('Claims Data'!$J$2:$J$101,$K22,'Claims Data'!$S$2:$S$101,L$17)</f>
        <v>0</v>
      </c>
      <c r="M22" s="104">
        <f>COUNTIFS('Claims Data'!$J$2:$J$101,$K22,'Claims Data'!$S$2:$S$101,M$17)</f>
        <v>2</v>
      </c>
      <c r="N22" s="104">
        <f>COUNTIFS('Claims Data'!$J$2:$J$101,$K22,'Claims Data'!$S$2:$S$101,N$17)</f>
        <v>6</v>
      </c>
      <c r="O22" s="104">
        <f>COUNTIFS('Claims Data'!$J$2:$J$101,$K22,'Claims Data'!$S$2:$S$101,O$17)</f>
        <v>8</v>
      </c>
      <c r="P22" s="104">
        <f>COUNTIFS('Claims Data'!$J$2:$J$101,$K22,'Claims Data'!$S$2:$S$101,P$17)</f>
        <v>1</v>
      </c>
      <c r="Q22" s="104">
        <f>COUNTIFS('Claims Data'!$J$2:$J$101,$K22,'Claims Data'!$S$2:$S$101,Q$17)</f>
        <v>3</v>
      </c>
      <c r="R22" s="77"/>
    </row>
    <row r="23" spans="2:18" ht="15.75">
      <c r="B23" s="77"/>
      <c r="C23" s="94">
        <v>2021</v>
      </c>
      <c r="D23" s="91">
        <f>AVERAGEIFS('Claims Data'!$O$2:$O$101,'Claims Data'!$S$2:$S$101,C23)</f>
        <v>626237.1313025041</v>
      </c>
      <c r="E23" s="94">
        <f>COUNTIFS('Claims Data'!$S$2:$S$101,C23)</f>
        <v>20</v>
      </c>
      <c r="F23" s="98">
        <f>SUMIFS('Claims Data'!$O$2:$O$101,'Claims Data'!$S$2:$S$101,C23)</f>
        <v>12524742.626050081</v>
      </c>
      <c r="G23" s="77"/>
      <c r="H23" s="77"/>
      <c r="I23" s="77"/>
      <c r="J23" s="77"/>
      <c r="K23" s="99" t="s">
        <v>164</v>
      </c>
      <c r="L23" s="100">
        <f>SUM(L18:L22)</f>
        <v>10</v>
      </c>
      <c r="M23" s="100">
        <f>SUM(M18:M22)</f>
        <v>17</v>
      </c>
      <c r="N23" s="100">
        <f>SUM(N18:N22)</f>
        <v>20</v>
      </c>
      <c r="O23" s="100">
        <f>SUM(O18:O22)</f>
        <v>20</v>
      </c>
      <c r="P23" s="100">
        <f>SUM(P18:P22)</f>
        <v>17</v>
      </c>
      <c r="Q23" s="100">
        <f>SUM(Q18:Q22)</f>
        <v>16</v>
      </c>
      <c r="R23" s="77"/>
    </row>
    <row r="24" spans="2:18" ht="15.75">
      <c r="B24" s="77"/>
      <c r="C24" s="94">
        <v>2022</v>
      </c>
      <c r="D24" s="91">
        <f>AVERAGEIFS('Claims Data'!$O$2:$O$101,'Claims Data'!$S$2:$S$101,C24)</f>
        <v>911278.74249600002</v>
      </c>
      <c r="E24" s="94">
        <f>COUNTIFS('Claims Data'!$S$2:$S$101,C24)</f>
        <v>17</v>
      </c>
      <c r="F24" s="98">
        <f>SUMIFS('Claims Data'!$O$2:$O$101,'Claims Data'!$S$2:$S$101,C24)</f>
        <v>15491738.622432001</v>
      </c>
      <c r="G24" s="77"/>
      <c r="H24" s="77"/>
      <c r="I24" s="77"/>
      <c r="J24" s="77"/>
      <c r="K24" s="77"/>
      <c r="L24" s="77"/>
      <c r="M24" s="77"/>
      <c r="N24" s="35"/>
      <c r="O24" s="35"/>
      <c r="P24" s="35"/>
      <c r="Q24" s="35"/>
      <c r="R24" s="77"/>
    </row>
    <row r="25" spans="2:18" ht="15.75">
      <c r="B25" s="77"/>
      <c r="C25" s="94">
        <v>2023</v>
      </c>
      <c r="D25" s="91">
        <f>AVERAGEIFS('Claims Data'!$O$2:$O$101,'Claims Data'!$S$2:$S$101,C25)</f>
        <v>494079.08869375003</v>
      </c>
      <c r="E25" s="94">
        <f>COUNTIFS('Claims Data'!$S$2:$S$101,C25)</f>
        <v>16</v>
      </c>
      <c r="F25" s="98">
        <f>SUMIFS('Claims Data'!$O$2:$O$101,'Claims Data'!$S$2:$S$101,C25)</f>
        <v>7905265.4191000005</v>
      </c>
      <c r="G25" s="77"/>
      <c r="H25" s="77"/>
      <c r="I25" s="77"/>
      <c r="J25" s="77"/>
      <c r="K25" s="77"/>
      <c r="L25" s="77"/>
      <c r="M25" s="77"/>
      <c r="N25" s="35"/>
      <c r="O25" s="35"/>
      <c r="P25" s="35"/>
      <c r="Q25" s="35"/>
      <c r="R25" s="77"/>
    </row>
    <row r="26" spans="2:18" ht="15.75">
      <c r="B26" s="77"/>
      <c r="C26" s="95" t="s">
        <v>164</v>
      </c>
      <c r="D26" s="96">
        <f>AVERAGE('Claims Data'!O2:O101)</f>
        <v>662235.24239276652</v>
      </c>
      <c r="E26" s="97">
        <f>SUM(E20:E25)</f>
        <v>100</v>
      </c>
      <c r="F26" s="98">
        <f>SUM(F20:F25)</f>
        <v>66223524.23927667</v>
      </c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</row>
    <row r="27" spans="2:18">
      <c r="B27" s="77"/>
      <c r="C27" s="35"/>
      <c r="D27" s="35"/>
      <c r="E27" s="35"/>
      <c r="F27" s="71"/>
      <c r="G27" s="77"/>
      <c r="H27" s="77"/>
      <c r="I27" s="77"/>
      <c r="J27" s="77"/>
      <c r="K27" s="17" t="s">
        <v>171</v>
      </c>
      <c r="L27" s="77"/>
      <c r="M27" s="77"/>
      <c r="N27" s="77"/>
      <c r="O27" s="77"/>
      <c r="P27" s="77"/>
      <c r="Q27" s="77"/>
      <c r="R27" s="77"/>
    </row>
    <row r="28" spans="2:18" ht="15.75">
      <c r="B28" s="77"/>
      <c r="C28" s="33"/>
      <c r="D28" s="77"/>
      <c r="E28" s="77"/>
      <c r="F28" s="72"/>
      <c r="G28" s="77"/>
      <c r="H28" s="77"/>
      <c r="I28" s="77"/>
      <c r="J28" s="77"/>
      <c r="K28" s="99"/>
      <c r="L28" s="100">
        <v>2018</v>
      </c>
      <c r="M28" s="100">
        <v>2019</v>
      </c>
      <c r="N28" s="100">
        <v>2020</v>
      </c>
      <c r="O28" s="100">
        <v>2021</v>
      </c>
      <c r="P28" s="100">
        <v>2022</v>
      </c>
      <c r="Q28" s="100">
        <v>2023</v>
      </c>
      <c r="R28" s="77"/>
    </row>
    <row r="29" spans="2:18" ht="16.5" customHeight="1">
      <c r="B29" s="77"/>
      <c r="C29" s="77"/>
      <c r="D29" s="77"/>
      <c r="E29" s="77"/>
      <c r="F29" s="77"/>
      <c r="G29" s="77"/>
      <c r="H29" s="77"/>
      <c r="I29" s="77"/>
      <c r="J29" s="77"/>
      <c r="K29" s="101" t="s">
        <v>28</v>
      </c>
      <c r="L29" s="102">
        <f>IFERROR(AVERAGEIFS('Claims Data'!$Q$2:$Q$101,'Claims Data'!$J$2:$J$101,$K29,'Claims Data'!$S$2:$S$101,L$28),"-")</f>
        <v>714009.45102100924</v>
      </c>
      <c r="M29" s="102">
        <f>IFERROR(AVERAGEIFS('Claims Data'!$Q$2:$Q$101,'Claims Data'!$J$2:$J$101,$K29,'Claims Data'!$S$2:$S$101,M$28),"-")</f>
        <v>615736.25279026781</v>
      </c>
      <c r="N29" s="102">
        <f>IFERROR(AVERAGEIFS('Claims Data'!$Q$2:$Q$101,'Claims Data'!$J$2:$J$101,$K29,'Claims Data'!$S$2:$S$101,N$28),"-")</f>
        <v>596145.13568537775</v>
      </c>
      <c r="O29" s="102">
        <f>IFERROR(AVERAGEIFS('Claims Data'!$Q$2:$Q$101,'Claims Data'!$J$2:$J$101,$K29,'Claims Data'!$S$2:$S$101,O$28),"-")</f>
        <v>632890.37270688801</v>
      </c>
      <c r="P29" s="102">
        <f>IFERROR(AVERAGEIFS('Claims Data'!$Q$2:$Q$101,'Claims Data'!$J$2:$J$101,$K29,'Claims Data'!$S$2:$S$101,P$28),"-")</f>
        <v>1820827.14745</v>
      </c>
      <c r="Q29" s="102">
        <f>IFERROR(AVERAGEIFS('Claims Data'!$Q$2:$Q$101,'Claims Data'!$J$2:$J$101,$K29,'Claims Data'!$S$2:$S$101,Q$28),"-")</f>
        <v>729547.3343499999</v>
      </c>
      <c r="R29" s="77"/>
    </row>
    <row r="30" spans="2:18" ht="21">
      <c r="B30" s="77"/>
      <c r="C30" s="34" t="s">
        <v>172</v>
      </c>
      <c r="D30" s="77"/>
      <c r="E30" s="77"/>
      <c r="F30" s="77"/>
      <c r="G30" s="77"/>
      <c r="H30" s="77"/>
      <c r="I30" s="77"/>
      <c r="J30" s="77"/>
      <c r="K30" s="101" t="s">
        <v>23</v>
      </c>
      <c r="L30" s="102">
        <f>IFERROR(AVERAGEIFS('Claims Data'!$Q$2:$Q$101,'Claims Data'!$J$2:$J$101,$K30,'Claims Data'!$S$2:$S$101,L$28),"-")</f>
        <v>345659.15481496957</v>
      </c>
      <c r="M30" s="102">
        <f>IFERROR(AVERAGEIFS('Claims Data'!$Q$2:$Q$101,'Claims Data'!$J$2:$J$101,$K30,'Claims Data'!$S$2:$S$101,M$28),"-")</f>
        <v>540673.16871211212</v>
      </c>
      <c r="N30" s="102">
        <f>IFERROR(AVERAGEIFS('Claims Data'!$Q$2:$Q$101,'Claims Data'!$J$2:$J$101,$K30,'Claims Data'!$S$2:$S$101,N$28),"-")</f>
        <v>697772.18458633428</v>
      </c>
      <c r="O30" s="102">
        <f>IFERROR(AVERAGEIFS('Claims Data'!$Q$2:$Q$101,'Claims Data'!$J$2:$J$101,$K30,'Claims Data'!$S$2:$S$101,O$28),"-")</f>
        <v>418519.18516394665</v>
      </c>
      <c r="P30" s="102">
        <f>IFERROR(AVERAGEIFS('Claims Data'!$Q$2:$Q$101,'Claims Data'!$J$2:$J$101,$K30,'Claims Data'!$S$2:$S$101,P$28),"-")</f>
        <v>418276.97022799996</v>
      </c>
      <c r="Q30" s="102">
        <f>IFERROR(AVERAGEIFS('Claims Data'!$Q$2:$Q$101,'Claims Data'!$J$2:$J$101,$K30,'Claims Data'!$S$2:$S$101,Q$28),"-")</f>
        <v>103097.06539999999</v>
      </c>
      <c r="R30" s="77"/>
    </row>
    <row r="31" spans="2:18" ht="15.75">
      <c r="B31" s="77"/>
      <c r="C31" s="17" t="s">
        <v>173</v>
      </c>
      <c r="D31" s="77"/>
      <c r="E31" s="77"/>
      <c r="F31" s="77"/>
      <c r="G31" s="77"/>
      <c r="H31" s="77"/>
      <c r="I31" s="77"/>
      <c r="J31" s="77"/>
      <c r="K31" s="101" t="s">
        <v>33</v>
      </c>
      <c r="L31" s="102">
        <f>IFERROR(AVERAGEIFS('Claims Data'!$Q$2:$Q$101,'Claims Data'!$J$2:$J$101,$K31,'Claims Data'!$S$2:$S$101,L$28),"-")</f>
        <v>679550.03103076015</v>
      </c>
      <c r="M31" s="102">
        <f>IFERROR(AVERAGEIFS('Claims Data'!$Q$2:$Q$101,'Claims Data'!$J$2:$J$101,$K31,'Claims Data'!$S$2:$S$101,M$28),"-")</f>
        <v>701089.40997043834</v>
      </c>
      <c r="N31" s="102">
        <f>IFERROR(AVERAGEIFS('Claims Data'!$Q$2:$Q$101,'Claims Data'!$J$2:$J$101,$K31,'Claims Data'!$S$2:$S$101,N$28),"-")</f>
        <v>663942.7383464484</v>
      </c>
      <c r="O31" s="102">
        <f>IFERROR(AVERAGEIFS('Claims Data'!$Q$2:$Q$101,'Claims Data'!$J$2:$J$101,$K31,'Claims Data'!$S$2:$S$101,O$28),"-")</f>
        <v>852809.66041651997</v>
      </c>
      <c r="P31" s="102">
        <f>IFERROR(AVERAGEIFS('Claims Data'!$Q$2:$Q$101,'Claims Data'!$J$2:$J$101,$K31,'Claims Data'!$S$2:$S$101,P$28),"-")</f>
        <v>725109.44874040002</v>
      </c>
      <c r="Q31" s="102">
        <f>IFERROR(AVERAGEIFS('Claims Data'!$Q$2:$Q$101,'Claims Data'!$J$2:$J$101,$K31,'Claims Data'!$S$2:$S$101,Q$28),"-")</f>
        <v>408460.93195000006</v>
      </c>
      <c r="R31" s="77"/>
    </row>
    <row r="32" spans="2:18" ht="15.75">
      <c r="B32" s="77"/>
      <c r="C32" s="99"/>
      <c r="D32" s="100">
        <v>2018</v>
      </c>
      <c r="E32" s="100">
        <v>2019</v>
      </c>
      <c r="F32" s="100">
        <v>2020</v>
      </c>
      <c r="G32" s="100">
        <v>2021</v>
      </c>
      <c r="H32" s="100">
        <v>2022</v>
      </c>
      <c r="I32" s="100">
        <v>2023</v>
      </c>
      <c r="J32" s="77"/>
      <c r="K32" s="101" t="s">
        <v>48</v>
      </c>
      <c r="L32" s="102">
        <f>IFERROR(AVERAGEIFS('Claims Data'!$Q$2:$Q$101,'Claims Data'!$J$2:$J$101,$K32,'Claims Data'!$S$2:$S$101,L$28),"-")</f>
        <v>633964.65384466096</v>
      </c>
      <c r="M32" s="102">
        <f>IFERROR(AVERAGEIFS('Claims Data'!$Q$2:$Q$101,'Claims Data'!$J$2:$J$101,$K32,'Claims Data'!$S$2:$S$101,M$28),"-")</f>
        <v>541124.8238281064</v>
      </c>
      <c r="N32" s="102" t="str">
        <f>IFERROR(AVERAGEIFS('Claims Data'!$Q$2:$Q$101,'Claims Data'!$J$2:$J$101,$K32,'Claims Data'!$S$2:$S$101,N$28),"-")</f>
        <v>-</v>
      </c>
      <c r="O32" s="102">
        <f>IFERROR(AVERAGEIFS('Claims Data'!$Q$2:$Q$101,'Claims Data'!$J$2:$J$101,$K32,'Claims Data'!$S$2:$S$101,O$28),"-")</f>
        <v>595204.26755269337</v>
      </c>
      <c r="P32" s="102">
        <f>IFERROR(AVERAGEIFS('Claims Data'!$Q$2:$Q$101,'Claims Data'!$J$2:$J$101,$K32,'Claims Data'!$S$2:$S$101,P$28),"-")</f>
        <v>567866.87656599993</v>
      </c>
      <c r="Q32" s="102">
        <f>IFERROR(AVERAGEIFS('Claims Data'!$Q$2:$Q$101,'Claims Data'!$J$2:$J$101,$K32,'Claims Data'!$S$2:$S$101,Q$28),"-")</f>
        <v>453727.24107500003</v>
      </c>
      <c r="R32" s="77"/>
    </row>
    <row r="33" spans="3:17" s="26" customFormat="1" ht="15.75">
      <c r="C33" s="101" t="s">
        <v>26</v>
      </c>
      <c r="D33" s="102">
        <f>SUMIFS('Claims Data'!$Q$2:$Q$101,'Claims Data'!$C$2:$C$101,$C33,'Claims Data'!$S$2:$S$101,D$32)</f>
        <v>697368.0207472234</v>
      </c>
      <c r="E33" s="102">
        <f>SUMIFS('Claims Data'!$Q$2:$Q$101,'Claims Data'!$C$2:$C$101,$C33,'Claims Data'!$S$2:$S$101,E$32)</f>
        <v>662834.33499735559</v>
      </c>
      <c r="F33" s="102">
        <f>SUMIFS('Claims Data'!$Q$2:$Q$101,'Claims Data'!$C$2:$C$101,$C33,'Claims Data'!$S$2:$S$101,F$32)</f>
        <v>3570921.3315225951</v>
      </c>
      <c r="G33" s="102">
        <f>SUMIFS('Claims Data'!$Q$2:$Q$101,'Claims Data'!$C$2:$C$101,$C33,'Claims Data'!$S$2:$S$101,G$32)</f>
        <v>1781773.1680748803</v>
      </c>
      <c r="H33" s="102">
        <f>SUMIFS('Claims Data'!$Q$2:$Q$101,'Claims Data'!$C$2:$C$101,$C33,'Claims Data'!$S$2:$S$101,H$32)</f>
        <v>2937526.7408780004</v>
      </c>
      <c r="I33" s="102">
        <f>SUMIFS('Claims Data'!$Q$2:$Q$101,'Claims Data'!$C$2:$C$101,$C33,'Claims Data'!$S$2:$S$101,I$32)</f>
        <v>1570662.8665999998</v>
      </c>
      <c r="J33" s="77"/>
      <c r="K33" s="101" t="s">
        <v>39</v>
      </c>
      <c r="L33" s="102" t="str">
        <f>IFERROR(AVERAGEIFS('Claims Data'!$Q$2:$Q$101,'Claims Data'!$J$2:$J$101,$K33,'Claims Data'!$S$2:$S$101,L$28),"-")</f>
        <v>-</v>
      </c>
      <c r="M33" s="102">
        <f>IFERROR(AVERAGEIFS('Claims Data'!$Q$2:$Q$101,'Claims Data'!$J$2:$J$101,$K33,'Claims Data'!$S$2:$S$101,M$28),"-")</f>
        <v>778794.25602993101</v>
      </c>
      <c r="N33" s="102">
        <f>IFERROR(AVERAGEIFS('Claims Data'!$Q$2:$Q$101,'Claims Data'!$J$2:$J$101,$K33,'Claims Data'!$S$2:$S$101,N$28),"-")</f>
        <v>485652.75148927938</v>
      </c>
      <c r="O33" s="102">
        <f>IFERROR(AVERAGEIFS('Claims Data'!$Q$2:$Q$101,'Claims Data'!$J$2:$J$101,$K33,'Claims Data'!$S$2:$S$101,O$28),"-")</f>
        <v>613486.93174365012</v>
      </c>
      <c r="P33" s="102">
        <f>IFERROR(AVERAGEIFS('Claims Data'!$Q$2:$Q$101,'Claims Data'!$J$2:$J$101,$K33,'Claims Data'!$S$2:$S$101,P$28),"-")</f>
        <v>720119.68831999996</v>
      </c>
      <c r="Q33" s="102">
        <f>IFERROR(AVERAGEIFS('Claims Data'!$Q$2:$Q$101,'Claims Data'!$J$2:$J$101,$K33,'Claims Data'!$S$2:$S$101,Q$28),"-")</f>
        <v>478981.96083333337</v>
      </c>
    </row>
    <row r="34" spans="3:17" s="26" customFormat="1" ht="15.75">
      <c r="C34" s="101" t="s">
        <v>20</v>
      </c>
      <c r="D34" s="102">
        <f>SUMIFS('Claims Data'!$Q$2:$Q$101,'Claims Data'!$C$2:$C$101,$C34,'Claims Data'!$S$2:$S$101,D$32)</f>
        <v>2405966.0874662898</v>
      </c>
      <c r="E34" s="102">
        <f>SUMIFS('Claims Data'!$Q$2:$Q$101,'Claims Data'!$C$2:$C$101,$C34,'Claims Data'!$S$2:$S$101,E$32)</f>
        <v>3253999.8527008849</v>
      </c>
      <c r="F34" s="102">
        <f>SUMIFS('Claims Data'!$Q$2:$Q$101,'Claims Data'!$C$2:$C$101,$C34,'Claims Data'!$S$2:$S$101,F$32)</f>
        <v>0</v>
      </c>
      <c r="G34" s="102">
        <f>SUMIFS('Claims Data'!$Q$2:$Q$101,'Claims Data'!$C$2:$C$101,$C34,'Claims Data'!$S$2:$S$101,G$32)</f>
        <v>4027741.5256802402</v>
      </c>
      <c r="H34" s="102">
        <f>SUMIFS('Claims Data'!$Q$2:$Q$101,'Claims Data'!$C$2:$C$101,$C34,'Claims Data'!$S$2:$S$101,H$32)</f>
        <v>997566.67877399991</v>
      </c>
      <c r="I34" s="102">
        <f>SUMIFS('Claims Data'!$Q$2:$Q$101,'Claims Data'!$C$2:$C$101,$C34,'Claims Data'!$S$2:$S$101,I$32)</f>
        <v>1410599.5731000002</v>
      </c>
      <c r="J34" s="77"/>
      <c r="K34" s="99" t="s">
        <v>164</v>
      </c>
      <c r="L34" s="103">
        <f>IFERROR(AVERAGE(L29:L33),"-")</f>
        <v>593295.82267785002</v>
      </c>
      <c r="M34" s="103">
        <f>IFERROR(AVERAGE(M29:M33),"-")</f>
        <v>635483.58226617111</v>
      </c>
      <c r="N34" s="103">
        <f>IFERROR(AVERAGE(N29:N33),"-")</f>
        <v>610878.20252685994</v>
      </c>
      <c r="O34" s="103">
        <f>IFERROR(AVERAGE(O29:O33),"-")</f>
        <v>622582.08351673954</v>
      </c>
      <c r="P34" s="103">
        <f>IFERROR(AVERAGE(P29:P33),"-")</f>
        <v>850440.02626088005</v>
      </c>
      <c r="Q34" s="103">
        <f>IFERROR(AVERAGE(Q29:Q33),"-")</f>
        <v>434762.90672166663</v>
      </c>
    </row>
    <row r="35" spans="3:17" s="26" customFormat="1" ht="15.75">
      <c r="C35" s="101" t="s">
        <v>31</v>
      </c>
      <c r="D35" s="102">
        <f>SUMIFS('Claims Data'!$Q$2:$Q$101,'Claims Data'!$C$2:$C$101,$C35,'Claims Data'!$S$2:$S$101,D$32)</f>
        <v>1324699.5078214062</v>
      </c>
      <c r="E35" s="102">
        <f>SUMIFS('Claims Data'!$Q$2:$Q$101,'Claims Data'!$C$2:$C$101,$C35,'Claims Data'!$S$2:$S$101,E$32)</f>
        <v>2407881.4108209559</v>
      </c>
      <c r="F35" s="102">
        <f>SUMIFS('Claims Data'!$Q$2:$Q$101,'Claims Data'!$C$2:$C$101,$C35,'Claims Data'!$S$2:$S$101,F$32)</f>
        <v>3050494.7499306966</v>
      </c>
      <c r="G35" s="102">
        <f>SUMIFS('Claims Data'!$Q$2:$Q$101,'Claims Data'!$C$2:$C$101,$C35,'Claims Data'!$S$2:$S$101,G$32)</f>
        <v>2386006.5987511203</v>
      </c>
      <c r="H35" s="102">
        <f>SUMIFS('Claims Data'!$Q$2:$Q$101,'Claims Data'!$C$2:$C$101,$C35,'Claims Data'!$S$2:$S$101,H$32)</f>
        <v>2654253.808468</v>
      </c>
      <c r="I35" s="102">
        <f>SUMIFS('Claims Data'!$Q$2:$Q$101,'Claims Data'!$C$2:$C$101,$C35,'Claims Data'!$S$2:$S$101,I$32)</f>
        <v>834871.46829999995</v>
      </c>
      <c r="J35" s="77"/>
      <c r="K35" s="77"/>
      <c r="L35" s="77"/>
      <c r="M35" s="77"/>
      <c r="N35" s="35"/>
      <c r="O35" s="35"/>
      <c r="P35" s="35"/>
      <c r="Q35" s="35"/>
    </row>
    <row r="36" spans="3:17" s="26" customFormat="1" ht="15.75">
      <c r="C36" s="101" t="s">
        <v>36</v>
      </c>
      <c r="D36" s="102">
        <f>SUMIFS('Claims Data'!$Q$2:$Q$101,'Claims Data'!$C$2:$C$101,$C36,'Claims Data'!$S$2:$S$101,D$32)</f>
        <v>0</v>
      </c>
      <c r="E36" s="102">
        <f>SUMIFS('Claims Data'!$Q$2:$Q$101,'Claims Data'!$C$2:$C$101,$C36,'Claims Data'!$S$2:$S$101,E$32)</f>
        <v>3215152.3493829388</v>
      </c>
      <c r="F36" s="102">
        <f>SUMIFS('Claims Data'!$Q$2:$Q$101,'Claims Data'!$C$2:$C$101,$C36,'Claims Data'!$S$2:$S$101,F$32)</f>
        <v>3693140.9137192685</v>
      </c>
      <c r="G36" s="102">
        <f>SUMIFS('Claims Data'!$Q$2:$Q$101,'Claims Data'!$C$2:$C$101,$C36,'Claims Data'!$S$2:$S$101,G$32)</f>
        <v>3537852.8211535201</v>
      </c>
      <c r="H36" s="102">
        <f>SUMIFS('Claims Data'!$Q$2:$Q$101,'Claims Data'!$C$2:$C$101,$C36,'Claims Data'!$S$2:$S$101,H$32)</f>
        <v>8416336.8043120001</v>
      </c>
      <c r="I36" s="102">
        <f>SUMIFS('Claims Data'!$Q$2:$Q$101,'Claims Data'!$C$2:$C$101,$C36,'Claims Data'!$S$2:$S$101,I$32)</f>
        <v>0</v>
      </c>
      <c r="J36" s="77"/>
      <c r="K36" s="77"/>
      <c r="L36" s="77"/>
      <c r="M36" s="77"/>
      <c r="N36" s="35"/>
      <c r="O36" s="35"/>
      <c r="P36" s="35"/>
      <c r="Q36" s="35"/>
    </row>
    <row r="37" spans="3:17" s="26" customFormat="1" ht="15.75">
      <c r="C37" s="101" t="s">
        <v>42</v>
      </c>
      <c r="D37" s="102">
        <f>SUMIFS('Claims Data'!$Q$2:$Q$101,'Claims Data'!$C$2:$C$101,$C37,'Claims Data'!$S$2:$S$101,D$32)</f>
        <v>2000197.9464693414</v>
      </c>
      <c r="E37" s="102">
        <f>SUMIFS('Claims Data'!$Q$2:$Q$101,'Claims Data'!$C$2:$C$101,$C37,'Claims Data'!$S$2:$S$101,E$32)</f>
        <v>825320.96309482318</v>
      </c>
      <c r="F37" s="102">
        <f>SUMIFS('Claims Data'!$Q$2:$Q$101,'Claims Data'!$C$2:$C$101,$C37,'Claims Data'!$S$2:$S$101,F$32)</f>
        <v>1758685.2249286552</v>
      </c>
      <c r="G37" s="102">
        <f>SUMIFS('Claims Data'!$Q$2:$Q$101,'Claims Data'!$C$2:$C$101,$C37,'Claims Data'!$S$2:$S$101,G$32)</f>
        <v>232953.22239032001</v>
      </c>
      <c r="H37" s="102">
        <f>SUMIFS('Claims Data'!$Q$2:$Q$101,'Claims Data'!$C$2:$C$101,$C37,'Claims Data'!$S$2:$S$101,H$32)</f>
        <v>0</v>
      </c>
      <c r="I37" s="102">
        <f>SUMIFS('Claims Data'!$Q$2:$Q$101,'Claims Data'!$C$2:$C$101,$C37,'Claims Data'!$S$2:$S$101,I$32)</f>
        <v>3629743.5011</v>
      </c>
      <c r="J37" s="77"/>
      <c r="K37" s="77"/>
      <c r="L37" s="77"/>
      <c r="M37" s="77"/>
      <c r="N37" s="77"/>
      <c r="O37" s="77"/>
      <c r="P37" s="77"/>
      <c r="Q37" s="77"/>
    </row>
    <row r="38" spans="3:17" s="26" customFormat="1" ht="15.75">
      <c r="C38" s="99" t="s">
        <v>164</v>
      </c>
      <c r="D38" s="103">
        <f>SUM(D33:D37)</f>
        <v>6428231.5625042608</v>
      </c>
      <c r="E38" s="103">
        <f>SUM(E33:E37)</f>
        <v>10365188.910996959</v>
      </c>
      <c r="F38" s="103">
        <f>SUM(F33:F37)</f>
        <v>12073242.220101215</v>
      </c>
      <c r="G38" s="103">
        <f>SUM(G33:G37)</f>
        <v>11966327.33605008</v>
      </c>
      <c r="H38" s="103">
        <f>SUM(H33:H37)</f>
        <v>15005684.032432001</v>
      </c>
      <c r="I38" s="103">
        <f>SUM(I33:I37)</f>
        <v>7445877.4090999998</v>
      </c>
      <c r="J38" s="77"/>
      <c r="K38" s="77"/>
      <c r="L38" s="77"/>
      <c r="M38" s="77"/>
      <c r="N38" s="77"/>
      <c r="O38" s="77"/>
      <c r="P38" s="77"/>
      <c r="Q38" s="77"/>
    </row>
    <row r="39" spans="3:17" s="26" customFormat="1">
      <c r="C39" s="77"/>
      <c r="D39" s="77"/>
      <c r="E39" s="77"/>
      <c r="F39" s="77"/>
      <c r="G39" s="77"/>
      <c r="H39" s="77"/>
      <c r="I39" s="77"/>
      <c r="J39" s="77"/>
      <c r="K39" s="78" t="s">
        <v>174</v>
      </c>
      <c r="L39" s="78"/>
      <c r="M39" s="78"/>
      <c r="N39" s="77"/>
      <c r="O39" s="77"/>
      <c r="P39" s="77"/>
      <c r="Q39" s="77"/>
    </row>
    <row r="40" spans="3:17" s="26" customFormat="1">
      <c r="C40" s="77"/>
      <c r="D40" s="77"/>
      <c r="E40" s="77"/>
      <c r="F40" s="77"/>
      <c r="G40" s="77"/>
      <c r="H40" s="77"/>
      <c r="I40" s="77"/>
      <c r="J40" s="77"/>
      <c r="K40" s="78" t="s">
        <v>175</v>
      </c>
      <c r="L40" s="78"/>
      <c r="M40" s="78"/>
      <c r="N40" s="77"/>
      <c r="O40" s="77"/>
      <c r="P40" s="77"/>
      <c r="Q40" s="77"/>
    </row>
    <row r="41" spans="3:17" s="26" customFormat="1">
      <c r="C41" s="77"/>
      <c r="D41" s="77"/>
      <c r="E41" s="77"/>
      <c r="F41" s="77"/>
      <c r="G41" s="77"/>
      <c r="H41" s="77"/>
      <c r="I41" s="77"/>
      <c r="J41" s="77"/>
      <c r="K41" s="78" t="s">
        <v>176</v>
      </c>
      <c r="L41" s="78"/>
      <c r="M41" s="78"/>
      <c r="N41" s="77"/>
      <c r="O41" s="77"/>
      <c r="P41" s="77"/>
      <c r="Q41" s="77"/>
    </row>
    <row r="42" spans="3:17">
      <c r="C42" s="17" t="s">
        <v>177</v>
      </c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</row>
    <row r="43" spans="3:17" ht="15.75">
      <c r="C43" s="99"/>
      <c r="D43" s="100">
        <v>2018</v>
      </c>
      <c r="E43" s="100">
        <v>2019</v>
      </c>
      <c r="F43" s="100">
        <v>2020</v>
      </c>
      <c r="G43" s="100">
        <v>2021</v>
      </c>
      <c r="H43" s="100">
        <v>2022</v>
      </c>
      <c r="I43" s="100">
        <v>2023</v>
      </c>
      <c r="J43" s="77"/>
      <c r="K43" s="77"/>
      <c r="L43" s="77"/>
      <c r="M43" s="77"/>
      <c r="N43" s="77"/>
      <c r="O43" s="77"/>
      <c r="P43" s="77"/>
      <c r="Q43" s="77"/>
    </row>
    <row r="44" spans="3:17" ht="15.75">
      <c r="C44" s="101" t="s">
        <v>26</v>
      </c>
      <c r="D44" s="104">
        <f>COUNTIFS('Claims Data'!$C$2:$C$101,$C44,'Claims Data'!$S$2:$S$101,D$43)</f>
        <v>1</v>
      </c>
      <c r="E44" s="104">
        <f>COUNTIFS('Claims Data'!$C$2:$C$101,$C44,'Claims Data'!$S$2:$S$101,E$43)</f>
        <v>1</v>
      </c>
      <c r="F44" s="104">
        <f>COUNTIFS('Claims Data'!$C$2:$C$101,$C44,'Claims Data'!$S$2:$S$101,F$43)</f>
        <v>6</v>
      </c>
      <c r="G44" s="104">
        <f>COUNTIFS('Claims Data'!$C$2:$C$101,$C44,'Claims Data'!$S$2:$S$101,G$43)</f>
        <v>3</v>
      </c>
      <c r="H44" s="104">
        <f>COUNTIFS('Claims Data'!$C$2:$C$101,$C44,'Claims Data'!$S$2:$S$101,H$43)</f>
        <v>5</v>
      </c>
      <c r="I44" s="104">
        <f>COUNTIFS('Claims Data'!$C$2:$C$101,$C44,'Claims Data'!$S$2:$S$101,I$43)</f>
        <v>3</v>
      </c>
      <c r="J44" s="77"/>
      <c r="K44" s="77"/>
      <c r="L44" s="77"/>
      <c r="M44" s="77"/>
      <c r="N44" s="77"/>
      <c r="O44" s="77"/>
      <c r="P44" s="77"/>
      <c r="Q44" s="77"/>
    </row>
    <row r="45" spans="3:17" ht="15.75">
      <c r="C45" s="101" t="s">
        <v>20</v>
      </c>
      <c r="D45" s="104">
        <f>COUNTIFS('Claims Data'!$C$2:$C$101,$C45,'Claims Data'!$S$2:$S$101,D$43)</f>
        <v>4</v>
      </c>
      <c r="E45" s="104">
        <f>COUNTIFS('Claims Data'!$C$2:$C$101,$C45,'Claims Data'!$S$2:$S$101,E$43)</f>
        <v>6</v>
      </c>
      <c r="F45" s="104">
        <f>COUNTIFS('Claims Data'!$C$2:$C$101,$C45,'Claims Data'!$S$2:$S$101,F$43)</f>
        <v>0</v>
      </c>
      <c r="G45" s="104">
        <f>COUNTIFS('Claims Data'!$C$2:$C$101,$C45,'Claims Data'!$S$2:$S$101,G$43)</f>
        <v>6</v>
      </c>
      <c r="H45" s="104">
        <f>COUNTIFS('Claims Data'!$C$2:$C$101,$C45,'Claims Data'!$S$2:$S$101,H$43)</f>
        <v>3</v>
      </c>
      <c r="I45" s="104">
        <f>COUNTIFS('Claims Data'!$C$2:$C$101,$C45,'Claims Data'!$S$2:$S$101,I$43)</f>
        <v>2</v>
      </c>
      <c r="J45" s="77"/>
      <c r="K45" s="77"/>
      <c r="L45" s="77"/>
      <c r="M45" s="77"/>
      <c r="N45" s="77"/>
      <c r="O45" s="77"/>
      <c r="P45" s="77"/>
      <c r="Q45" s="77"/>
    </row>
    <row r="46" spans="3:17" ht="15.75">
      <c r="C46" s="101" t="s">
        <v>31</v>
      </c>
      <c r="D46" s="104">
        <f>COUNTIFS('Claims Data'!$C$2:$C$101,$C46,'Claims Data'!$S$2:$S$101,D$43)</f>
        <v>2</v>
      </c>
      <c r="E46" s="104">
        <f>COUNTIFS('Claims Data'!$C$2:$C$101,$C46,'Claims Data'!$S$2:$S$101,E$43)</f>
        <v>3</v>
      </c>
      <c r="F46" s="104">
        <f>COUNTIFS('Claims Data'!$C$2:$C$101,$C46,'Claims Data'!$S$2:$S$101,F$43)</f>
        <v>5</v>
      </c>
      <c r="G46" s="104">
        <f>COUNTIFS('Claims Data'!$C$2:$C$101,$C46,'Claims Data'!$S$2:$S$101,G$43)</f>
        <v>4</v>
      </c>
      <c r="H46" s="104">
        <f>COUNTIFS('Claims Data'!$C$2:$C$101,$C46,'Claims Data'!$S$2:$S$101,H$43)</f>
        <v>4</v>
      </c>
      <c r="I46" s="104">
        <f>COUNTIFS('Claims Data'!$C$2:$C$101,$C46,'Claims Data'!$S$2:$S$101,I$43)</f>
        <v>2</v>
      </c>
      <c r="J46" s="77"/>
      <c r="K46" s="77"/>
      <c r="L46" s="77"/>
      <c r="M46" s="77"/>
      <c r="N46" s="77"/>
      <c r="O46" s="77"/>
      <c r="P46" s="77"/>
      <c r="Q46" s="77"/>
    </row>
    <row r="47" spans="3:17" ht="15.75">
      <c r="C47" s="101" t="s">
        <v>36</v>
      </c>
      <c r="D47" s="104">
        <f>COUNTIFS('Claims Data'!$C$2:$C$101,$C47,'Claims Data'!$S$2:$S$101,D$43)</f>
        <v>0</v>
      </c>
      <c r="E47" s="104">
        <f>COUNTIFS('Claims Data'!$C$2:$C$101,$C47,'Claims Data'!$S$2:$S$101,E$43)</f>
        <v>5</v>
      </c>
      <c r="F47" s="104">
        <f>COUNTIFS('Claims Data'!$C$2:$C$101,$C47,'Claims Data'!$S$2:$S$101,F$43)</f>
        <v>6</v>
      </c>
      <c r="G47" s="104">
        <f>COUNTIFS('Claims Data'!$C$2:$C$101,$C47,'Claims Data'!$S$2:$S$101,G$43)</f>
        <v>6</v>
      </c>
      <c r="H47" s="104">
        <f>COUNTIFS('Claims Data'!$C$2:$C$101,$C47,'Claims Data'!$S$2:$S$101,H$43)</f>
        <v>5</v>
      </c>
      <c r="I47" s="104">
        <f>COUNTIFS('Claims Data'!$C$2:$C$101,$C47,'Claims Data'!$S$2:$S$101,I$43)</f>
        <v>0</v>
      </c>
      <c r="J47" s="77"/>
      <c r="K47" s="77"/>
      <c r="L47" s="77"/>
      <c r="M47" s="77"/>
      <c r="N47" s="77"/>
      <c r="O47" s="77"/>
      <c r="P47" s="77"/>
      <c r="Q47" s="77"/>
    </row>
    <row r="48" spans="3:17" ht="15.75">
      <c r="C48" s="101" t="s">
        <v>42</v>
      </c>
      <c r="D48" s="104">
        <f>COUNTIFS('Claims Data'!$C$2:$C$101,$C48,'Claims Data'!$S$2:$S$101,D$43)</f>
        <v>3</v>
      </c>
      <c r="E48" s="104">
        <f>COUNTIFS('Claims Data'!$C$2:$C$101,$C48,'Claims Data'!$S$2:$S$101,E$43)</f>
        <v>2</v>
      </c>
      <c r="F48" s="104">
        <f>COUNTIFS('Claims Data'!$C$2:$C$101,$C48,'Claims Data'!$S$2:$S$101,F$43)</f>
        <v>3</v>
      </c>
      <c r="G48" s="104">
        <f>COUNTIFS('Claims Data'!$C$2:$C$101,$C48,'Claims Data'!$S$2:$S$101,G$43)</f>
        <v>1</v>
      </c>
      <c r="H48" s="104">
        <f>COUNTIFS('Claims Data'!$C$2:$C$101,$C48,'Claims Data'!$S$2:$S$101,H$43)</f>
        <v>0</v>
      </c>
      <c r="I48" s="104">
        <f>COUNTIFS('Claims Data'!$C$2:$C$101,$C48,'Claims Data'!$S$2:$S$101,I$43)</f>
        <v>9</v>
      </c>
      <c r="J48" s="77"/>
      <c r="K48" s="77"/>
      <c r="L48" s="77"/>
      <c r="M48" s="77"/>
      <c r="N48" s="77"/>
      <c r="O48" s="77"/>
      <c r="P48" s="77"/>
      <c r="Q48" s="77"/>
    </row>
    <row r="49" spans="3:11" ht="15.75">
      <c r="C49" s="99" t="s">
        <v>164</v>
      </c>
      <c r="D49" s="100">
        <f>SUM(D44:D48)</f>
        <v>10</v>
      </c>
      <c r="E49" s="100">
        <f>SUM(E44:E48)</f>
        <v>17</v>
      </c>
      <c r="F49" s="100">
        <f>SUM(F44:F48)</f>
        <v>20</v>
      </c>
      <c r="G49" s="100">
        <f>SUM(G44:G48)</f>
        <v>20</v>
      </c>
      <c r="H49" s="100">
        <f>SUM(H44:H48)</f>
        <v>17</v>
      </c>
      <c r="I49" s="100">
        <f>SUM(I44:I48)</f>
        <v>16</v>
      </c>
      <c r="J49" s="77"/>
      <c r="K49" s="77"/>
    </row>
    <row r="50" spans="3:11">
      <c r="C50" s="77"/>
      <c r="D50" s="77"/>
      <c r="E50" s="77"/>
      <c r="F50" s="77"/>
      <c r="G50" s="77"/>
      <c r="H50" s="77"/>
      <c r="I50" s="77"/>
      <c r="J50" s="77"/>
      <c r="K50" s="17"/>
    </row>
    <row r="51" spans="3:11">
      <c r="C51" s="77"/>
      <c r="D51" s="77"/>
      <c r="E51" s="77"/>
      <c r="F51" s="77"/>
      <c r="G51" s="77"/>
      <c r="H51" s="77"/>
      <c r="I51" s="77"/>
      <c r="J51" s="77"/>
      <c r="K51" s="77"/>
    </row>
    <row r="53" spans="3:11">
      <c r="C53" s="17" t="s">
        <v>178</v>
      </c>
      <c r="D53" s="77"/>
      <c r="E53" s="77"/>
      <c r="F53" s="77"/>
      <c r="G53" s="77"/>
      <c r="H53" s="77"/>
      <c r="I53" s="77"/>
      <c r="J53" s="77"/>
      <c r="K53" s="77"/>
    </row>
    <row r="54" spans="3:11" ht="15.75">
      <c r="C54" s="99"/>
      <c r="D54" s="100">
        <v>2018</v>
      </c>
      <c r="E54" s="100">
        <v>2019</v>
      </c>
      <c r="F54" s="100">
        <v>2020</v>
      </c>
      <c r="G54" s="100">
        <v>2021</v>
      </c>
      <c r="H54" s="100">
        <v>2022</v>
      </c>
      <c r="I54" s="100">
        <v>2023</v>
      </c>
      <c r="J54" s="77"/>
      <c r="K54" s="77"/>
    </row>
    <row r="55" spans="3:11" ht="15.75">
      <c r="C55" s="101" t="s">
        <v>26</v>
      </c>
      <c r="D55" s="102">
        <f>IFERROR(AVERAGEIFS('Claims Data'!$Q$2:$Q$101,'Claims Data'!$C$2:$C$101,$C55,'Claims Data'!$S$2:$S$101,D$54),"-")</f>
        <v>697368.0207472234</v>
      </c>
      <c r="E55" s="102">
        <f>IFERROR(AVERAGEIFS('Claims Data'!$Q$2:$Q$101,'Claims Data'!$C$2:$C$101,$C55,'Claims Data'!$S$2:$S$101,E$54),"-")</f>
        <v>662834.33499735559</v>
      </c>
      <c r="F55" s="102">
        <f>IFERROR(AVERAGEIFS('Claims Data'!$Q$2:$Q$101,'Claims Data'!$C$2:$C$101,$C55,'Claims Data'!$S$2:$S$101,F$54),"-")</f>
        <v>595153.5552537659</v>
      </c>
      <c r="G55" s="102">
        <f>IFERROR(AVERAGEIFS('Claims Data'!$Q$2:$Q$101,'Claims Data'!$C$2:$C$101,$C55,'Claims Data'!$S$2:$S$101,G$54),"-")</f>
        <v>593924.38935829338</v>
      </c>
      <c r="H55" s="102">
        <f>IFERROR(AVERAGEIFS('Claims Data'!$Q$2:$Q$101,'Claims Data'!$C$2:$C$101,$C55,'Claims Data'!$S$2:$S$101,H$54),"-")</f>
        <v>587505.34817560005</v>
      </c>
      <c r="I55" s="102">
        <f>IFERROR(AVERAGEIFS('Claims Data'!$Q$2:$Q$101,'Claims Data'!$C$2:$C$101,$C55,'Claims Data'!$S$2:$S$101,I$54),"-")</f>
        <v>523554.28886666661</v>
      </c>
      <c r="J55" s="77"/>
      <c r="K55" s="77"/>
    </row>
    <row r="56" spans="3:11" ht="15.75">
      <c r="C56" s="101" t="s">
        <v>20</v>
      </c>
      <c r="D56" s="102">
        <f>IFERROR(AVERAGEIFS('Claims Data'!$Q$2:$Q$101,'Claims Data'!$C$2:$C$101,$C56,'Claims Data'!$S$2:$S$101,D$54),"-")</f>
        <v>601491.52186657244</v>
      </c>
      <c r="E56" s="102">
        <f>IFERROR(AVERAGEIFS('Claims Data'!$Q$2:$Q$101,'Claims Data'!$C$2:$C$101,$C56,'Claims Data'!$S$2:$S$101,E$54),"-")</f>
        <v>542333.30878348078</v>
      </c>
      <c r="F56" s="102" t="str">
        <f>IFERROR(AVERAGEIFS('Claims Data'!$Q$2:$Q$101,'Claims Data'!$C$2:$C$101,$C56,'Claims Data'!$S$2:$S$101,F$54),"-")</f>
        <v>-</v>
      </c>
      <c r="G56" s="102">
        <f>IFERROR(AVERAGEIFS('Claims Data'!$Q$2:$Q$101,'Claims Data'!$C$2:$C$101,$C56,'Claims Data'!$S$2:$S$101,G$54),"-")</f>
        <v>671290.25428004004</v>
      </c>
      <c r="H56" s="102">
        <f>IFERROR(AVERAGEIFS('Claims Data'!$Q$2:$Q$101,'Claims Data'!$C$2:$C$101,$C56,'Claims Data'!$S$2:$S$101,H$54),"-")</f>
        <v>332522.22625799995</v>
      </c>
      <c r="I56" s="102">
        <f>IFERROR(AVERAGEIFS('Claims Data'!$Q$2:$Q$101,'Claims Data'!$C$2:$C$101,$C56,'Claims Data'!$S$2:$S$101,I$54),"-")</f>
        <v>705299.78655000008</v>
      </c>
      <c r="J56" s="77"/>
      <c r="K56" s="77"/>
    </row>
    <row r="57" spans="3:11" ht="15.75">
      <c r="C57" s="101" t="s">
        <v>31</v>
      </c>
      <c r="D57" s="102">
        <f>IFERROR(AVERAGEIFS('Claims Data'!$Q$2:$Q$101,'Claims Data'!$C$2:$C$101,$C57,'Claims Data'!$S$2:$S$101,D$54),"-")</f>
        <v>662349.75391070312</v>
      </c>
      <c r="E57" s="102">
        <f>IFERROR(AVERAGEIFS('Claims Data'!$Q$2:$Q$101,'Claims Data'!$C$2:$C$101,$C57,'Claims Data'!$S$2:$S$101,E$54),"-")</f>
        <v>802627.13694031863</v>
      </c>
      <c r="F57" s="102">
        <f>IFERROR(AVERAGEIFS('Claims Data'!$Q$2:$Q$101,'Claims Data'!$C$2:$C$101,$C57,'Claims Data'!$S$2:$S$101,F$54),"-")</f>
        <v>610098.94998613931</v>
      </c>
      <c r="G57" s="102">
        <f>IFERROR(AVERAGEIFS('Claims Data'!$Q$2:$Q$101,'Claims Data'!$C$2:$C$101,$C57,'Claims Data'!$S$2:$S$101,G$54),"-")</f>
        <v>596501.64968778007</v>
      </c>
      <c r="H57" s="102">
        <f>IFERROR(AVERAGEIFS('Claims Data'!$Q$2:$Q$101,'Claims Data'!$C$2:$C$101,$C57,'Claims Data'!$S$2:$S$101,H$54),"-")</f>
        <v>663563.45211700001</v>
      </c>
      <c r="I57" s="102">
        <f>IFERROR(AVERAGEIFS('Claims Data'!$Q$2:$Q$101,'Claims Data'!$C$2:$C$101,$C57,'Claims Data'!$S$2:$S$101,I$54),"-")</f>
        <v>417435.73414999997</v>
      </c>
      <c r="J57" s="77"/>
      <c r="K57" s="77"/>
    </row>
    <row r="58" spans="3:11" ht="15.75">
      <c r="C58" s="101" t="s">
        <v>36</v>
      </c>
      <c r="D58" s="102" t="str">
        <f>IFERROR(AVERAGEIFS('Claims Data'!$Q$2:$Q$101,'Claims Data'!$C$2:$C$101,$C58,'Claims Data'!$S$2:$S$101,D$54),"-")</f>
        <v>-</v>
      </c>
      <c r="E58" s="102">
        <f>IFERROR(AVERAGEIFS('Claims Data'!$Q$2:$Q$101,'Claims Data'!$C$2:$C$101,$C58,'Claims Data'!$S$2:$S$101,E$54),"-")</f>
        <v>643030.46987658774</v>
      </c>
      <c r="F58" s="102">
        <f>IFERROR(AVERAGEIFS('Claims Data'!$Q$2:$Q$101,'Claims Data'!$C$2:$C$101,$C58,'Claims Data'!$S$2:$S$101,F$54),"-")</f>
        <v>615523.48561987805</v>
      </c>
      <c r="G58" s="102">
        <f>IFERROR(AVERAGEIFS('Claims Data'!$Q$2:$Q$101,'Claims Data'!$C$2:$C$101,$C58,'Claims Data'!$S$2:$S$101,G$54),"-")</f>
        <v>589642.13685891998</v>
      </c>
      <c r="H58" s="102">
        <f>IFERROR(AVERAGEIFS('Claims Data'!$Q$2:$Q$101,'Claims Data'!$C$2:$C$101,$C58,'Claims Data'!$S$2:$S$101,H$54),"-")</f>
        <v>1683267.3608623999</v>
      </c>
      <c r="I58" s="102" t="str">
        <f>IFERROR(AVERAGEIFS('Claims Data'!$Q$2:$Q$101,'Claims Data'!$C$2:$C$101,$C58,'Claims Data'!$S$2:$S$101,I$54),"-")</f>
        <v>-</v>
      </c>
      <c r="J58" s="77"/>
      <c r="K58" s="77"/>
    </row>
    <row r="59" spans="3:11" ht="15.75">
      <c r="C59" s="101" t="s">
        <v>42</v>
      </c>
      <c r="D59" s="102">
        <f>IFERROR(AVERAGEIFS('Claims Data'!$Q$2:$Q$101,'Claims Data'!$C$2:$C$101,$C59,'Claims Data'!$S$2:$S$101,D$54),"-")</f>
        <v>666732.64882311376</v>
      </c>
      <c r="E59" s="102">
        <f>IFERROR(AVERAGEIFS('Claims Data'!$Q$2:$Q$101,'Claims Data'!$C$2:$C$101,$C59,'Claims Data'!$S$2:$S$101,E$54),"-")</f>
        <v>412660.48154741159</v>
      </c>
      <c r="F59" s="102">
        <f>IFERROR(AVERAGEIFS('Claims Data'!$Q$2:$Q$101,'Claims Data'!$C$2:$C$101,$C59,'Claims Data'!$S$2:$S$101,F$54),"-")</f>
        <v>586228.40830955177</v>
      </c>
      <c r="G59" s="102">
        <f>IFERROR(AVERAGEIFS('Claims Data'!$Q$2:$Q$101,'Claims Data'!$C$2:$C$101,$C59,'Claims Data'!$S$2:$S$101,G$54),"-")</f>
        <v>232953.22239032001</v>
      </c>
      <c r="H59" s="102" t="str">
        <f>IFERROR(AVERAGEIFS('Claims Data'!$Q$2:$Q$101,'Claims Data'!$C$2:$C$101,$C59,'Claims Data'!$S$2:$S$101,H$54),"-")</f>
        <v>-</v>
      </c>
      <c r="I59" s="102">
        <f>IFERROR(AVERAGEIFS('Claims Data'!$Q$2:$Q$101,'Claims Data'!$C$2:$C$101,$C59,'Claims Data'!$S$2:$S$101,I$54),"-")</f>
        <v>403304.83345555555</v>
      </c>
      <c r="J59" s="77"/>
      <c r="K59" s="77"/>
    </row>
    <row r="60" spans="3:11" ht="15.75">
      <c r="C60" s="99" t="s">
        <v>164</v>
      </c>
      <c r="D60" s="103">
        <f>IFERROR(AVERAGE(D55:D59),"-")</f>
        <v>656985.48633690318</v>
      </c>
      <c r="E60" s="103">
        <f>IFERROR(AVERAGE(E55:E59),"-")</f>
        <v>612697.14642903092</v>
      </c>
      <c r="F60" s="103">
        <f>IFERROR(AVERAGE(F55:F59),"-")</f>
        <v>601751.09979233379</v>
      </c>
      <c r="G60" s="103">
        <f>IFERROR(AVERAGE(G55:G59),"-")</f>
        <v>536862.3305150707</v>
      </c>
      <c r="H60" s="103">
        <f>IFERROR(AVERAGE(H55:H59),"-")</f>
        <v>816714.59685324994</v>
      </c>
      <c r="I60" s="103">
        <f>IFERROR(AVERAGE(I55:I59),"-")</f>
        <v>512398.66075555555</v>
      </c>
      <c r="J60" s="77"/>
      <c r="K60" s="77"/>
    </row>
    <row r="61" spans="3:11">
      <c r="C61" s="77"/>
      <c r="D61" s="77"/>
      <c r="E61" s="77"/>
      <c r="F61" s="77"/>
      <c r="G61" s="77"/>
      <c r="H61" s="77"/>
      <c r="I61" s="77"/>
      <c r="J61" s="77"/>
      <c r="K61" s="2"/>
    </row>
    <row r="62" spans="3:11">
      <c r="C62" s="77"/>
      <c r="D62" s="77"/>
      <c r="E62" s="77"/>
      <c r="F62" s="77"/>
      <c r="G62" s="77"/>
      <c r="H62" s="77"/>
      <c r="I62" s="77"/>
      <c r="J62" s="77"/>
      <c r="K62" s="77"/>
    </row>
    <row r="64" spans="3:11">
      <c r="C64" s="17"/>
      <c r="D64" s="77"/>
      <c r="E64" s="77"/>
      <c r="F64" s="77"/>
      <c r="G64" s="77"/>
      <c r="H64" s="77"/>
      <c r="I64" s="77"/>
      <c r="J64" s="77"/>
      <c r="K64" s="77"/>
    </row>
    <row r="65" spans="3:9" ht="21">
      <c r="C65" s="34" t="s">
        <v>179</v>
      </c>
      <c r="D65" s="77"/>
      <c r="E65" s="77"/>
      <c r="F65" s="77"/>
      <c r="G65" s="77"/>
      <c r="H65" s="77"/>
      <c r="I65" s="77"/>
    </row>
    <row r="66" spans="3:9">
      <c r="C66" s="17" t="s">
        <v>180</v>
      </c>
      <c r="D66" s="77"/>
      <c r="E66" s="77"/>
      <c r="F66" s="77"/>
      <c r="G66" s="77"/>
      <c r="H66" s="77"/>
      <c r="I66" s="77"/>
    </row>
    <row r="67" spans="3:9" ht="15.75">
      <c r="C67" s="99"/>
      <c r="D67" s="100">
        <v>2018</v>
      </c>
      <c r="E67" s="100">
        <v>2019</v>
      </c>
      <c r="F67" s="100">
        <v>2020</v>
      </c>
      <c r="G67" s="100">
        <v>2021</v>
      </c>
      <c r="H67" s="100">
        <v>2022</v>
      </c>
      <c r="I67" s="100">
        <v>2023</v>
      </c>
    </row>
    <row r="68" spans="3:9" ht="15.75">
      <c r="C68" s="101" t="s">
        <v>32</v>
      </c>
      <c r="D68" s="102">
        <f>SUMIFS('Claims Data'!$Q$2:$Q$101,'Claims Data'!$I$2:$I$101,$C68,'Claims Data'!$S$2:$S$101,D$67)</f>
        <v>1324699.5078214062</v>
      </c>
      <c r="E68" s="102">
        <f>SUMIFS('Claims Data'!$Q$2:$Q$101,'Claims Data'!$I$2:$I$101,$C68,'Claims Data'!$S$2:$S$101,E$67)</f>
        <v>2407881.4108209559</v>
      </c>
      <c r="F68" s="102">
        <f>SUMIFS('Claims Data'!$Q$2:$Q$101,'Claims Data'!$I$2:$I$101,$C68,'Claims Data'!$S$2:$S$101,F$67)</f>
        <v>3268651.1868274631</v>
      </c>
      <c r="G68" s="102">
        <f>SUMIFS('Claims Data'!$Q$2:$Q$101,'Claims Data'!$I$2:$I$101,$C68,'Claims Data'!$S$2:$S$101,G$67)</f>
        <v>2386006.5987511203</v>
      </c>
      <c r="H68" s="102">
        <f>SUMIFS('Claims Data'!$Q$2:$Q$101,'Claims Data'!$I$2:$I$101,$C68,'Claims Data'!$S$2:$S$101,H$67)</f>
        <v>2654253.808468</v>
      </c>
      <c r="I68" s="102">
        <f>SUMIFS('Claims Data'!$Q$2:$Q$101,'Claims Data'!$I$2:$I$101,$C68,'Claims Data'!$S$2:$S$101,I$67)</f>
        <v>834871.46829999995</v>
      </c>
    </row>
    <row r="69" spans="3:9" ht="15.75">
      <c r="C69" s="101" t="s">
        <v>22</v>
      </c>
      <c r="D69" s="102">
        <f>SUMIFS('Claims Data'!$Q$2:$Q$101,'Claims Data'!$I$2:$I$101,$C69,'Claims Data'!$S$2:$S$101,D$67)</f>
        <v>2355678.5005103601</v>
      </c>
      <c r="E69" s="102">
        <f>SUMIFS('Claims Data'!$Q$2:$Q$101,'Claims Data'!$I$2:$I$101,$C69,'Claims Data'!$S$2:$S$101,E$67)</f>
        <v>1899587.8414497594</v>
      </c>
      <c r="F69" s="102">
        <f>SUMIFS('Claims Data'!$Q$2:$Q$101,'Claims Data'!$I$2:$I$101,$C69,'Claims Data'!$S$2:$S$101,F$67)</f>
        <v>1758685.2249286552</v>
      </c>
      <c r="G69" s="102">
        <f>SUMIFS('Claims Data'!$Q$2:$Q$101,'Claims Data'!$I$2:$I$101,$C69,'Claims Data'!$S$2:$S$101,G$67)</f>
        <v>1087529.66512576</v>
      </c>
      <c r="H69" s="102">
        <f>SUMIFS('Claims Data'!$Q$2:$Q$101,'Claims Data'!$I$2:$I$101,$C69,'Claims Data'!$S$2:$S$101,H$67)</f>
        <v>1086039.2492479999</v>
      </c>
      <c r="I69" s="102">
        <f>SUMIFS('Claims Data'!$Q$2:$Q$101,'Claims Data'!$I$2:$I$101,$C69,'Claims Data'!$S$2:$S$101,I$67)</f>
        <v>3538473.3713000002</v>
      </c>
    </row>
    <row r="70" spans="3:9" ht="15.75">
      <c r="C70" s="101" t="s">
        <v>38</v>
      </c>
      <c r="D70" s="102">
        <f>SUMIFS('Claims Data'!$Q$2:$Q$101,'Claims Data'!$I$2:$I$101,$C70,'Claims Data'!$S$2:$S$101,D$67)</f>
        <v>713950.58527087432</v>
      </c>
      <c r="E70" s="102">
        <f>SUMIFS('Claims Data'!$Q$2:$Q$101,'Claims Data'!$I$2:$I$101,$C70,'Claims Data'!$S$2:$S$101,E$67)</f>
        <v>2405751.7012606501</v>
      </c>
      <c r="F70" s="102">
        <f>SUMIFS('Claims Data'!$Q$2:$Q$101,'Claims Data'!$I$2:$I$101,$C70,'Claims Data'!$S$2:$S$101,F$67)</f>
        <v>3693140.9137192685</v>
      </c>
      <c r="G70" s="102">
        <f>SUMIFS('Claims Data'!$Q$2:$Q$101,'Claims Data'!$I$2:$I$101,$C70,'Claims Data'!$S$2:$S$101,G$67)</f>
        <v>3191128.31616844</v>
      </c>
      <c r="H70" s="102">
        <f>SUMIFS('Claims Data'!$Q$2:$Q$101,'Claims Data'!$I$2:$I$101,$C70,'Claims Data'!$S$2:$S$101,H$67)</f>
        <v>8416336.8043120001</v>
      </c>
      <c r="I70" s="102">
        <f>SUMIFS('Claims Data'!$Q$2:$Q$101,'Claims Data'!$I$2:$I$101,$C70,'Claims Data'!$S$2:$S$101,I$67)</f>
        <v>0</v>
      </c>
    </row>
    <row r="71" spans="3:9" ht="15.75">
      <c r="C71" s="101" t="s">
        <v>27</v>
      </c>
      <c r="D71" s="102">
        <f>SUMIFS('Claims Data'!$Q$2:$Q$101,'Claims Data'!$I$2:$I$101,$C71,'Claims Data'!$S$2:$S$101,D$67)</f>
        <v>2033902.9689016202</v>
      </c>
      <c r="E71" s="102">
        <f>SUMIFS('Claims Data'!$Q$2:$Q$101,'Claims Data'!$I$2:$I$101,$C71,'Claims Data'!$S$2:$S$101,E$67)</f>
        <v>3651967.9574655928</v>
      </c>
      <c r="F71" s="102">
        <f>SUMIFS('Claims Data'!$Q$2:$Q$101,'Claims Data'!$I$2:$I$101,$C71,'Claims Data'!$S$2:$S$101,F$67)</f>
        <v>3352764.8946258286</v>
      </c>
      <c r="G71" s="102">
        <f>SUMIFS('Claims Data'!$Q$2:$Q$101,'Claims Data'!$I$2:$I$101,$C71,'Claims Data'!$S$2:$S$101,G$67)</f>
        <v>5301662.756004761</v>
      </c>
      <c r="H71" s="102">
        <f>SUMIFS('Claims Data'!$Q$2:$Q$101,'Claims Data'!$I$2:$I$101,$C71,'Claims Data'!$S$2:$S$101,H$67)</f>
        <v>2849054.1704040002</v>
      </c>
      <c r="I71" s="102">
        <f>SUMIFS('Claims Data'!$Q$2:$Q$101,'Claims Data'!$I$2:$I$101,$C71,'Claims Data'!$S$2:$S$101,I$67)</f>
        <v>3072532.5695000002</v>
      </c>
    </row>
    <row r="72" spans="3:9" ht="15.75">
      <c r="C72" s="99" t="s">
        <v>164</v>
      </c>
      <c r="D72" s="103">
        <f>SUM(D68:D71)</f>
        <v>6428231.5625042608</v>
      </c>
      <c r="E72" s="103">
        <f>SUM(E68:E71)</f>
        <v>10365188.910996959</v>
      </c>
      <c r="F72" s="103">
        <f>SUM(F68:F71)</f>
        <v>12073242.220101215</v>
      </c>
      <c r="G72" s="103">
        <f>SUM(G68:G71)</f>
        <v>11966327.336050082</v>
      </c>
      <c r="H72" s="103">
        <f>SUM(H68:H71)</f>
        <v>15005684.032431999</v>
      </c>
      <c r="I72" s="103">
        <f>SUM(I68:I71)</f>
        <v>7445877.4091000007</v>
      </c>
    </row>
    <row r="73" spans="3:9">
      <c r="C73" s="77"/>
      <c r="D73" s="77"/>
      <c r="E73" s="77"/>
      <c r="F73" s="77"/>
      <c r="G73" s="77"/>
      <c r="H73" s="77"/>
      <c r="I73" s="77"/>
    </row>
    <row r="74" spans="3:9">
      <c r="C74" s="77"/>
      <c r="D74" s="77"/>
      <c r="E74" s="77"/>
      <c r="F74" s="77"/>
      <c r="G74" s="77"/>
      <c r="H74" s="77"/>
      <c r="I74" s="77"/>
    </row>
    <row r="75" spans="3:9">
      <c r="C75" s="77"/>
      <c r="D75" s="77"/>
      <c r="E75" s="77"/>
      <c r="F75" s="77"/>
      <c r="G75" s="77"/>
      <c r="H75" s="77"/>
      <c r="I75" s="77"/>
    </row>
    <row r="76" spans="3:9">
      <c r="C76" s="77"/>
      <c r="D76" s="77"/>
      <c r="E76" s="77"/>
      <c r="F76" s="77"/>
      <c r="G76" s="77"/>
      <c r="H76" s="77"/>
      <c r="I76" s="77"/>
    </row>
    <row r="77" spans="3:9">
      <c r="C77" s="17" t="s">
        <v>181</v>
      </c>
      <c r="D77" s="77"/>
      <c r="E77" s="77"/>
      <c r="F77" s="77"/>
      <c r="G77" s="77"/>
      <c r="H77" s="77"/>
      <c r="I77" s="77"/>
    </row>
    <row r="78" spans="3:9" ht="15.75">
      <c r="C78" s="99"/>
      <c r="D78" s="100">
        <v>2018</v>
      </c>
      <c r="E78" s="100">
        <v>2019</v>
      </c>
      <c r="F78" s="100">
        <v>2020</v>
      </c>
      <c r="G78" s="100">
        <v>2021</v>
      </c>
      <c r="H78" s="100">
        <v>2022</v>
      </c>
      <c r="I78" s="100">
        <v>2023</v>
      </c>
    </row>
    <row r="79" spans="3:9" ht="15.75">
      <c r="C79" s="101" t="s">
        <v>32</v>
      </c>
      <c r="D79" s="104">
        <f>COUNTIFS('Claims Data'!$I$2:$I$101,$C79,'Claims Data'!$S$2:$S$101,D$78)</f>
        <v>2</v>
      </c>
      <c r="E79" s="104">
        <f>COUNTIFS('Claims Data'!$I$2:$I$101,$C79,'Claims Data'!$S$2:$S$101,E$78)</f>
        <v>3</v>
      </c>
      <c r="F79" s="104">
        <f>COUNTIFS('Claims Data'!$I$2:$I$101,$C79,'Claims Data'!$S$2:$S$101,F$78)</f>
        <v>6</v>
      </c>
      <c r="G79" s="104">
        <f>COUNTIFS('Claims Data'!$I$2:$I$101,$C79,'Claims Data'!$S$2:$S$101,G$78)</f>
        <v>4</v>
      </c>
      <c r="H79" s="104">
        <f>COUNTIFS('Claims Data'!$I$2:$I$101,$C79,'Claims Data'!$S$2:$S$101,H$78)</f>
        <v>4</v>
      </c>
      <c r="I79" s="104">
        <f>COUNTIFS('Claims Data'!$I$2:$I$101,$C79,'Claims Data'!$S$2:$S$101,I$78)</f>
        <v>2</v>
      </c>
    </row>
    <row r="80" spans="3:9" ht="15.75">
      <c r="C80" s="101" t="s">
        <v>22</v>
      </c>
      <c r="D80" s="104">
        <f>COUNTIFS('Claims Data'!$I$2:$I$101,$C80,'Claims Data'!$S$2:$S$101,D$78)</f>
        <v>4</v>
      </c>
      <c r="E80" s="104">
        <f>COUNTIFS('Claims Data'!$I$2:$I$101,$C80,'Claims Data'!$S$2:$S$101,E$78)</f>
        <v>4</v>
      </c>
      <c r="F80" s="104">
        <f>COUNTIFS('Claims Data'!$I$2:$I$101,$C80,'Claims Data'!$S$2:$S$101,F$78)</f>
        <v>3</v>
      </c>
      <c r="G80" s="104">
        <f>COUNTIFS('Claims Data'!$I$2:$I$101,$C80,'Claims Data'!$S$2:$S$101,G$78)</f>
        <v>2</v>
      </c>
      <c r="H80" s="104">
        <f>COUNTIFS('Claims Data'!$I$2:$I$101,$C80,'Claims Data'!$S$2:$S$101,H$78)</f>
        <v>2</v>
      </c>
      <c r="I80" s="104">
        <f>COUNTIFS('Claims Data'!$I$2:$I$101,$C80,'Claims Data'!$S$2:$S$101,I$78)</f>
        <v>8</v>
      </c>
    </row>
    <row r="81" spans="3:9" ht="15.75">
      <c r="C81" s="101" t="s">
        <v>38</v>
      </c>
      <c r="D81" s="104">
        <f>COUNTIFS('Claims Data'!$I$2:$I$101,$C81,'Claims Data'!$S$2:$S$101,D$78)</f>
        <v>1</v>
      </c>
      <c r="E81" s="104">
        <f>COUNTIFS('Claims Data'!$I$2:$I$101,$C81,'Claims Data'!$S$2:$S$101,E$78)</f>
        <v>4</v>
      </c>
      <c r="F81" s="104">
        <f>COUNTIFS('Claims Data'!$I$2:$I$101,$C81,'Claims Data'!$S$2:$S$101,F$78)</f>
        <v>6</v>
      </c>
      <c r="G81" s="104">
        <f>COUNTIFS('Claims Data'!$I$2:$I$101,$C81,'Claims Data'!$S$2:$S$101,G$78)</f>
        <v>5</v>
      </c>
      <c r="H81" s="104">
        <f>COUNTIFS('Claims Data'!$I$2:$I$101,$C81,'Claims Data'!$S$2:$S$101,H$78)</f>
        <v>5</v>
      </c>
      <c r="I81" s="104">
        <f>COUNTIFS('Claims Data'!$I$2:$I$101,$C81,'Claims Data'!$S$2:$S$101,I$78)</f>
        <v>0</v>
      </c>
    </row>
    <row r="82" spans="3:9" ht="15.75">
      <c r="C82" s="101" t="s">
        <v>27</v>
      </c>
      <c r="D82" s="104">
        <f>COUNTIFS('Claims Data'!$I$2:$I$101,$C82,'Claims Data'!$S$2:$S$101,D$78)</f>
        <v>3</v>
      </c>
      <c r="E82" s="104">
        <f>COUNTIFS('Claims Data'!$I$2:$I$101,$C82,'Claims Data'!$S$2:$S$101,E$78)</f>
        <v>6</v>
      </c>
      <c r="F82" s="104">
        <f>COUNTIFS('Claims Data'!$I$2:$I$101,$C82,'Claims Data'!$S$2:$S$101,F$78)</f>
        <v>5</v>
      </c>
      <c r="G82" s="104">
        <f>COUNTIFS('Claims Data'!$I$2:$I$101,$C82,'Claims Data'!$S$2:$S$101,G$78)</f>
        <v>9</v>
      </c>
      <c r="H82" s="104">
        <f>COUNTIFS('Claims Data'!$I$2:$I$101,$C82,'Claims Data'!$S$2:$S$101,H$78)</f>
        <v>6</v>
      </c>
      <c r="I82" s="104">
        <f>COUNTIFS('Claims Data'!$I$2:$I$101,$C82,'Claims Data'!$S$2:$S$101,I$78)</f>
        <v>6</v>
      </c>
    </row>
    <row r="83" spans="3:9" ht="15.75">
      <c r="C83" s="99" t="s">
        <v>164</v>
      </c>
      <c r="D83" s="100">
        <f>SUM(D79:D82)</f>
        <v>10</v>
      </c>
      <c r="E83" s="100">
        <f>SUM(E79:E82)</f>
        <v>17</v>
      </c>
      <c r="F83" s="100">
        <f>SUM(F79:F82)</f>
        <v>20</v>
      </c>
      <c r="G83" s="100">
        <f>SUM(G79:G82)</f>
        <v>20</v>
      </c>
      <c r="H83" s="100">
        <f>SUM(H79:H82)</f>
        <v>17</v>
      </c>
      <c r="I83" s="100">
        <f>SUM(I79:I82)</f>
        <v>16</v>
      </c>
    </row>
    <row r="84" spans="3:9">
      <c r="C84" s="77"/>
      <c r="D84" s="77"/>
      <c r="E84" s="77"/>
      <c r="F84" s="77"/>
      <c r="G84" s="77"/>
      <c r="H84" s="77"/>
      <c r="I84" s="77"/>
    </row>
    <row r="85" spans="3:9">
      <c r="C85" s="77"/>
      <c r="D85" s="77"/>
      <c r="E85" s="77"/>
      <c r="F85" s="77"/>
      <c r="G85" s="77"/>
      <c r="H85" s="77"/>
      <c r="I85" s="77"/>
    </row>
    <row r="86" spans="3:9">
      <c r="C86" s="77"/>
      <c r="D86" s="77"/>
      <c r="E86" s="77"/>
      <c r="F86" s="77"/>
      <c r="G86" s="77"/>
      <c r="H86" s="77"/>
      <c r="I86" s="77"/>
    </row>
    <row r="87" spans="3:9">
      <c r="C87" s="77"/>
      <c r="D87" s="77"/>
      <c r="E87" s="77"/>
      <c r="F87" s="77"/>
      <c r="G87" s="77"/>
      <c r="H87" s="77"/>
      <c r="I87" s="77"/>
    </row>
    <row r="88" spans="3:9">
      <c r="C88" s="17" t="s">
        <v>182</v>
      </c>
      <c r="D88" s="77"/>
      <c r="E88" s="77"/>
      <c r="F88" s="77"/>
      <c r="G88" s="77"/>
      <c r="H88" s="77"/>
      <c r="I88" s="77"/>
    </row>
    <row r="89" spans="3:9" ht="15.75">
      <c r="C89" s="99"/>
      <c r="D89" s="100">
        <v>2018</v>
      </c>
      <c r="E89" s="100">
        <v>2019</v>
      </c>
      <c r="F89" s="100">
        <v>2020</v>
      </c>
      <c r="G89" s="100">
        <v>2021</v>
      </c>
      <c r="H89" s="100">
        <v>2022</v>
      </c>
      <c r="I89" s="100">
        <v>2023</v>
      </c>
    </row>
    <row r="90" spans="3:9" ht="15.75">
      <c r="C90" s="101" t="s">
        <v>32</v>
      </c>
      <c r="D90" s="102">
        <f>IFERROR(AVERAGEIFS('Claims Data'!$Q$2:$Q$101,'Claims Data'!$I$2:$I$101,$C90,'Claims Data'!$S$2:$S$101,D$89),"-")</f>
        <v>662349.75391070312</v>
      </c>
      <c r="E90" s="102">
        <f>IFERROR(AVERAGEIFS('Claims Data'!$Q$2:$Q$101,'Claims Data'!$I$2:$I$101,$C90,'Claims Data'!$S$2:$S$101,E$89),"-")</f>
        <v>802627.13694031863</v>
      </c>
      <c r="F90" s="102">
        <f>IFERROR(AVERAGEIFS('Claims Data'!$Q$2:$Q$101,'Claims Data'!$I$2:$I$101,$C90,'Claims Data'!$S$2:$S$101,F$89),"-")</f>
        <v>544775.19780457718</v>
      </c>
      <c r="G90" s="102">
        <f>IFERROR(AVERAGEIFS('Claims Data'!$Q$2:$Q$101,'Claims Data'!$I$2:$I$101,$C90,'Claims Data'!$S$2:$S$101,G$89),"-")</f>
        <v>596501.64968778007</v>
      </c>
      <c r="H90" s="102">
        <f>IFERROR(AVERAGEIFS('Claims Data'!$Q$2:$Q$101,'Claims Data'!$I$2:$I$101,$C90,'Claims Data'!$S$2:$S$101,H$89),"-")</f>
        <v>663563.45211700001</v>
      </c>
      <c r="I90" s="102">
        <f>IFERROR(AVERAGEIFS('Claims Data'!$Q$2:$Q$101,'Claims Data'!$I$2:$I$101,$C90,'Claims Data'!$S$2:$S$101,I$89),"-")</f>
        <v>417435.73414999997</v>
      </c>
    </row>
    <row r="91" spans="3:9" ht="15.75">
      <c r="C91" s="101" t="s">
        <v>22</v>
      </c>
      <c r="D91" s="102">
        <f>IFERROR(AVERAGEIFS('Claims Data'!$Q$2:$Q$101,'Claims Data'!$I$2:$I$101,$C91,'Claims Data'!$S$2:$S$101,D$89),"-")</f>
        <v>588919.62512759003</v>
      </c>
      <c r="E91" s="102">
        <f>IFERROR(AVERAGEIFS('Claims Data'!$Q$2:$Q$101,'Claims Data'!$I$2:$I$101,$C91,'Claims Data'!$S$2:$S$101,E$89),"-")</f>
        <v>474896.96036243986</v>
      </c>
      <c r="F91" s="102">
        <f>IFERROR(AVERAGEIFS('Claims Data'!$Q$2:$Q$101,'Claims Data'!$I$2:$I$101,$C91,'Claims Data'!$S$2:$S$101,F$89),"-")</f>
        <v>586228.40830955177</v>
      </c>
      <c r="G91" s="102">
        <f>IFERROR(AVERAGEIFS('Claims Data'!$Q$2:$Q$101,'Claims Data'!$I$2:$I$101,$C91,'Claims Data'!$S$2:$S$101,G$89),"-")</f>
        <v>543764.83256288001</v>
      </c>
      <c r="H91" s="102">
        <f>IFERROR(AVERAGEIFS('Claims Data'!$Q$2:$Q$101,'Claims Data'!$I$2:$I$101,$C91,'Claims Data'!$S$2:$S$101,H$89),"-")</f>
        <v>543019.62462399993</v>
      </c>
      <c r="I91" s="102">
        <f>IFERROR(AVERAGEIFS('Claims Data'!$Q$2:$Q$101,'Claims Data'!$I$2:$I$101,$C91,'Claims Data'!$S$2:$S$101,I$89),"-")</f>
        <v>442309.17141250003</v>
      </c>
    </row>
    <row r="92" spans="3:9" ht="15.75">
      <c r="C92" s="101" t="s">
        <v>38</v>
      </c>
      <c r="D92" s="102">
        <f>IFERROR(AVERAGEIFS('Claims Data'!$Q$2:$Q$101,'Claims Data'!$I$2:$I$101,$C92,'Claims Data'!$S$2:$S$101,D$89),"-")</f>
        <v>713950.58527087432</v>
      </c>
      <c r="E92" s="102">
        <f>IFERROR(AVERAGEIFS('Claims Data'!$Q$2:$Q$101,'Claims Data'!$I$2:$I$101,$C92,'Claims Data'!$S$2:$S$101,E$89),"-")</f>
        <v>601437.92531516252</v>
      </c>
      <c r="F92" s="102">
        <f>IFERROR(AVERAGEIFS('Claims Data'!$Q$2:$Q$101,'Claims Data'!$I$2:$I$101,$C92,'Claims Data'!$S$2:$S$101,F$89),"-")</f>
        <v>615523.48561987805</v>
      </c>
      <c r="G92" s="102">
        <f>IFERROR(AVERAGEIFS('Claims Data'!$Q$2:$Q$101,'Claims Data'!$I$2:$I$101,$C92,'Claims Data'!$S$2:$S$101,G$89),"-")</f>
        <v>638225.66323368798</v>
      </c>
      <c r="H92" s="102">
        <f>IFERROR(AVERAGEIFS('Claims Data'!$Q$2:$Q$101,'Claims Data'!$I$2:$I$101,$C92,'Claims Data'!$S$2:$S$101,H$89),"-")</f>
        <v>1683267.3608623999</v>
      </c>
      <c r="I92" s="102" t="str">
        <f>IFERROR(AVERAGEIFS('Claims Data'!$Q$2:$Q$101,'Claims Data'!$I$2:$I$101,$C92,'Claims Data'!$S$2:$S$101,I$89),"-")</f>
        <v>-</v>
      </c>
    </row>
    <row r="93" spans="3:9" ht="15.75">
      <c r="C93" s="101" t="s">
        <v>27</v>
      </c>
      <c r="D93" s="102">
        <f>IFERROR(AVERAGEIFS('Claims Data'!$Q$2:$Q$101,'Claims Data'!$I$2:$I$101,$C93,'Claims Data'!$S$2:$S$101,D$89),"-")</f>
        <v>677967.65630054008</v>
      </c>
      <c r="E93" s="102">
        <f>IFERROR(AVERAGEIFS('Claims Data'!$Q$2:$Q$101,'Claims Data'!$I$2:$I$101,$C93,'Claims Data'!$S$2:$S$101,E$89),"-")</f>
        <v>608661.32624426542</v>
      </c>
      <c r="F93" s="102">
        <f>IFERROR(AVERAGEIFS('Claims Data'!$Q$2:$Q$101,'Claims Data'!$I$2:$I$101,$C93,'Claims Data'!$S$2:$S$101,F$89),"-")</f>
        <v>670552.97892516572</v>
      </c>
      <c r="G93" s="102">
        <f>IFERROR(AVERAGEIFS('Claims Data'!$Q$2:$Q$101,'Claims Data'!$I$2:$I$101,$C93,'Claims Data'!$S$2:$S$101,G$89),"-")</f>
        <v>589073.63955608453</v>
      </c>
      <c r="H93" s="102">
        <f>IFERROR(AVERAGEIFS('Claims Data'!$Q$2:$Q$101,'Claims Data'!$I$2:$I$101,$C93,'Claims Data'!$S$2:$S$101,H$89),"-")</f>
        <v>474842.36173400003</v>
      </c>
      <c r="I93" s="102">
        <f>IFERROR(AVERAGEIFS('Claims Data'!$Q$2:$Q$101,'Claims Data'!$I$2:$I$101,$C93,'Claims Data'!$S$2:$S$101,I$89),"-")</f>
        <v>512088.76158333337</v>
      </c>
    </row>
    <row r="94" spans="3:9" ht="15.75">
      <c r="C94" s="99" t="s">
        <v>164</v>
      </c>
      <c r="D94" s="103">
        <f>IFERROR(AVERAGE(D90:D93),"-")</f>
        <v>660796.90515242692</v>
      </c>
      <c r="E94" s="103">
        <f>IFERROR(AVERAGE(E90:E93),"-")</f>
        <v>621905.83721554663</v>
      </c>
      <c r="F94" s="103">
        <f>IFERROR(AVERAGE(F90:F93),"-")</f>
        <v>604270.01766479318</v>
      </c>
      <c r="G94" s="103">
        <f>IFERROR(AVERAGE(G90:G93),"-")</f>
        <v>591891.44626010815</v>
      </c>
      <c r="H94" s="103">
        <f>IFERROR(AVERAGE(H90:H93),"-")</f>
        <v>841173.19983435003</v>
      </c>
      <c r="I94" s="103">
        <f>IFERROR(AVERAGE(I90:I93),"-")</f>
        <v>457277.8890486111</v>
      </c>
    </row>
    <row r="95" spans="3:9">
      <c r="C95" s="77"/>
      <c r="D95" s="77"/>
      <c r="E95" s="77"/>
      <c r="F95" s="77"/>
      <c r="G95" s="77"/>
      <c r="H95" s="77"/>
      <c r="I95" s="77"/>
    </row>
    <row r="96" spans="3:9">
      <c r="C96" s="77"/>
      <c r="D96" s="77"/>
      <c r="E96" s="77"/>
      <c r="F96" s="77"/>
      <c r="G96" s="77"/>
      <c r="H96" s="77"/>
      <c r="I96" s="77"/>
    </row>
    <row r="97" spans="3:9">
      <c r="C97" s="77"/>
      <c r="D97" s="77"/>
      <c r="E97" s="77"/>
      <c r="F97" s="77"/>
      <c r="G97" s="77"/>
      <c r="H97" s="77"/>
      <c r="I97" s="77"/>
    </row>
    <row r="102" spans="3:9">
      <c r="C102" s="17"/>
      <c r="D102" s="77"/>
      <c r="E102" s="77"/>
      <c r="F102" s="77"/>
      <c r="G102" s="77"/>
      <c r="H102" s="77"/>
      <c r="I102" s="77"/>
    </row>
    <row r="128" spans="3:3">
      <c r="C128" s="2" t="s">
        <v>183</v>
      </c>
    </row>
  </sheetData>
  <mergeCells count="3">
    <mergeCell ref="K40:M40"/>
    <mergeCell ref="K41:M41"/>
    <mergeCell ref="K39:M39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AF4A3-EC7C-3348-977E-44D82B5A3750}">
  <dimension ref="A1:N69"/>
  <sheetViews>
    <sheetView topLeftCell="D27" zoomScaleNormal="100" workbookViewId="0">
      <selection activeCell="J49" sqref="J49"/>
    </sheetView>
  </sheetViews>
  <sheetFormatPr defaultColWidth="10.625" defaultRowHeight="15.95"/>
  <cols>
    <col min="2" max="2" width="40.75" customWidth="1"/>
    <col min="3" max="3" width="37.375" bestFit="1" customWidth="1"/>
    <col min="4" max="4" width="18.25" customWidth="1"/>
    <col min="5" max="5" width="12.375" customWidth="1"/>
    <col min="7" max="7" width="31.75" style="5" customWidth="1"/>
    <col min="8" max="11" width="25.625" customWidth="1"/>
    <col min="12" max="12" width="19.125" customWidth="1"/>
    <col min="14" max="14" width="23.375" customWidth="1"/>
    <col min="111" max="111" width="7" bestFit="1" customWidth="1"/>
    <col min="112" max="112" width="10.5" bestFit="1" customWidth="1"/>
  </cols>
  <sheetData>
    <row r="1" spans="2:11">
      <c r="B1" s="77"/>
      <c r="C1" s="77"/>
      <c r="D1" s="77"/>
      <c r="E1" s="77"/>
      <c r="F1" s="77"/>
      <c r="G1" s="17" t="s">
        <v>184</v>
      </c>
      <c r="H1" s="9"/>
      <c r="I1" s="10"/>
      <c r="J1" s="77"/>
      <c r="K1" s="77"/>
    </row>
    <row r="2" spans="2:11" ht="17.45" customHeight="1">
      <c r="B2" s="4" t="s">
        <v>185</v>
      </c>
      <c r="C2" s="77"/>
      <c r="D2" s="77"/>
      <c r="E2" s="77"/>
      <c r="F2" s="77"/>
      <c r="G2" s="82">
        <v>1</v>
      </c>
      <c r="H2" s="84" t="s">
        <v>186</v>
      </c>
      <c r="I2" s="84"/>
      <c r="J2" s="84"/>
      <c r="K2" s="84"/>
    </row>
    <row r="3" spans="2:11" s="26" customFormat="1" ht="18" thickBot="1">
      <c r="B3" s="4"/>
      <c r="C3" s="77"/>
      <c r="D3" s="77"/>
      <c r="E3" s="77"/>
      <c r="F3" s="77"/>
      <c r="G3" s="83"/>
      <c r="H3" s="85"/>
      <c r="I3" s="85"/>
      <c r="J3" s="85"/>
      <c r="K3" s="85"/>
    </row>
    <row r="4" spans="2:11" ht="16.5" thickBot="1">
      <c r="B4" s="77"/>
      <c r="C4" s="77"/>
      <c r="D4" s="39" t="s">
        <v>187</v>
      </c>
      <c r="E4" s="40" t="s">
        <v>188</v>
      </c>
      <c r="F4" s="77"/>
      <c r="G4" s="42" t="s">
        <v>18</v>
      </c>
      <c r="H4" s="27" t="s">
        <v>189</v>
      </c>
      <c r="I4" s="27" t="s">
        <v>190</v>
      </c>
      <c r="J4" s="51" t="s">
        <v>191</v>
      </c>
      <c r="K4" s="55"/>
    </row>
    <row r="5" spans="2:11" ht="15.75">
      <c r="B5" s="73">
        <v>2018</v>
      </c>
      <c r="C5" s="27" t="s">
        <v>192</v>
      </c>
      <c r="D5" s="28">
        <v>1.08</v>
      </c>
      <c r="E5" s="29">
        <f>E6*D6</f>
        <v>1.2053063131200001</v>
      </c>
      <c r="F5" s="77"/>
      <c r="G5" s="44">
        <v>2018</v>
      </c>
      <c r="H5" s="48">
        <f>C15</f>
        <v>45000000</v>
      </c>
      <c r="I5" s="106">
        <f>COUNTIFS('Claims Data'!$C$2:$C$101,"Environmental Pollution",'Claims Data'!$S$2:$S$101,G5,'Claims Data'!$R$2:$R$101,1)</f>
        <v>0</v>
      </c>
      <c r="J5" s="108">
        <f>I5/H5</f>
        <v>0</v>
      </c>
      <c r="K5" s="38"/>
    </row>
    <row r="6" spans="2:11" ht="15.75">
      <c r="B6" s="74">
        <v>2019</v>
      </c>
      <c r="C6" s="38" t="s">
        <v>193</v>
      </c>
      <c r="D6" s="38">
        <v>1.05</v>
      </c>
      <c r="E6" s="30">
        <f t="shared" ref="E6:E8" si="0">E7*D7</f>
        <v>1.1479107744000001</v>
      </c>
      <c r="F6" s="77"/>
      <c r="G6" s="44">
        <f>G5+1</f>
        <v>2019</v>
      </c>
      <c r="H6" s="48">
        <f t="shared" ref="H6:H10" si="1">C16</f>
        <v>49000000</v>
      </c>
      <c r="I6" s="106">
        <f>COUNTIFS('Claims Data'!$C$2:$C$101,"Environmental Pollution",'Claims Data'!$S$2:$S$101,G6,'Claims Data'!$R$2:$R$101,1)</f>
        <v>5</v>
      </c>
      <c r="J6" s="108">
        <f>I6/H6</f>
        <v>1.0204081632653061E-7</v>
      </c>
      <c r="K6" s="55"/>
    </row>
    <row r="7" spans="2:11" ht="15.75">
      <c r="B7" s="74">
        <v>2020</v>
      </c>
      <c r="C7" s="38" t="s">
        <v>194</v>
      </c>
      <c r="D7" s="38">
        <v>1.04</v>
      </c>
      <c r="E7" s="30">
        <f>E8*D8</f>
        <v>1.1037603600000001</v>
      </c>
      <c r="F7" s="77"/>
      <c r="G7" s="44">
        <f t="shared" ref="G7:G10" si="2">G6+1</f>
        <v>2020</v>
      </c>
      <c r="H7" s="48">
        <f t="shared" si="1"/>
        <v>41750000</v>
      </c>
      <c r="I7" s="106">
        <f>COUNTIFS('Claims Data'!$C$2:$C$101,"Environmental Pollution",'Claims Data'!$S$2:$S$101,G7,'Claims Data'!$R$2:$R$101,1)</f>
        <v>6</v>
      </c>
      <c r="J7" s="108">
        <f>I7/H7</f>
        <v>1.437125748502994E-7</v>
      </c>
      <c r="K7" s="38"/>
    </row>
    <row r="8" spans="2:11" ht="15.75">
      <c r="B8" s="74">
        <v>2021</v>
      </c>
      <c r="C8" s="38" t="s">
        <v>195</v>
      </c>
      <c r="D8" s="38">
        <v>1.03</v>
      </c>
      <c r="E8" s="30">
        <f t="shared" si="0"/>
        <v>1.071612</v>
      </c>
      <c r="F8" s="77"/>
      <c r="G8" s="44">
        <f t="shared" si="2"/>
        <v>2021</v>
      </c>
      <c r="H8" s="48">
        <f t="shared" si="1"/>
        <v>41500000</v>
      </c>
      <c r="I8" s="106">
        <f>COUNTIFS('Claims Data'!$C$2:$C$101,"Environmental Pollution",'Claims Data'!$S$2:$S$101,G8,'Claims Data'!$R$2:$R$101,1)</f>
        <v>6</v>
      </c>
      <c r="J8" s="108">
        <f>I8/H8</f>
        <v>1.4457831325301206E-7</v>
      </c>
      <c r="K8" s="38"/>
    </row>
    <row r="9" spans="2:11" ht="15.75">
      <c r="B9" s="74">
        <v>2022</v>
      </c>
      <c r="C9" s="38" t="s">
        <v>196</v>
      </c>
      <c r="D9" s="38">
        <v>1.02</v>
      </c>
      <c r="E9" s="30">
        <f>E10*D10</f>
        <v>1.0506</v>
      </c>
      <c r="F9" s="77"/>
      <c r="G9" s="44">
        <f t="shared" si="2"/>
        <v>2022</v>
      </c>
      <c r="H9" s="48">
        <f t="shared" si="1"/>
        <v>43590000</v>
      </c>
      <c r="I9" s="106">
        <f>COUNTIFS('Claims Data'!$C$2:$C$101,"Environmental Pollution",'Claims Data'!$S$2:$S$101,G9,'Claims Data'!$R$2:$R$101,1)</f>
        <v>4</v>
      </c>
      <c r="J9" s="108">
        <f>I9/H9</f>
        <v>9.1764166093140623E-8</v>
      </c>
      <c r="K9" s="56"/>
    </row>
    <row r="10" spans="2:11" ht="15.75">
      <c r="B10" s="74">
        <v>2023</v>
      </c>
      <c r="C10" s="38" t="s">
        <v>196</v>
      </c>
      <c r="D10" s="38">
        <v>1.02</v>
      </c>
      <c r="E10" s="30">
        <f>E11*D11</f>
        <v>1.03</v>
      </c>
      <c r="F10" s="77"/>
      <c r="G10" s="46">
        <f t="shared" si="2"/>
        <v>2023</v>
      </c>
      <c r="H10" s="54">
        <f t="shared" si="1"/>
        <v>44750000</v>
      </c>
      <c r="I10" s="107">
        <f>COUNTIFS('Claims Data'!$C$2:$C$101,"Environmental Pollution",'Claims Data'!$S$2:$S$101,G10,'Claims Data'!$R$2:$R$101,1)</f>
        <v>0</v>
      </c>
      <c r="J10" s="109">
        <f>I10/H10</f>
        <v>0</v>
      </c>
      <c r="K10" s="38"/>
    </row>
    <row r="11" spans="2:11" ht="17.100000000000001" customHeight="1" thickBot="1">
      <c r="B11" s="75">
        <v>2024</v>
      </c>
      <c r="C11" s="31" t="s">
        <v>197</v>
      </c>
      <c r="D11" s="31">
        <v>1.03</v>
      </c>
      <c r="E11" s="32">
        <v>1</v>
      </c>
      <c r="F11" s="77"/>
      <c r="G11" s="110" t="s">
        <v>198</v>
      </c>
      <c r="H11" s="77"/>
      <c r="I11" s="105">
        <f>SUM(I5:I10)</f>
        <v>21</v>
      </c>
      <c r="J11" s="111">
        <f>AVERAGE(J5:J10)</f>
        <v>8.0349311753830448E-8</v>
      </c>
      <c r="K11" s="77"/>
    </row>
    <row r="12" spans="2:11" s="26" customFormat="1" ht="17.100000000000001" customHeight="1">
      <c r="B12" s="55"/>
      <c r="C12" s="38"/>
      <c r="D12" s="38"/>
      <c r="E12" s="41"/>
      <c r="F12" s="77"/>
      <c r="G12" s="2" t="s">
        <v>199</v>
      </c>
      <c r="H12" s="77"/>
      <c r="I12" s="77"/>
      <c r="J12" s="77"/>
      <c r="K12" s="77"/>
    </row>
    <row r="13" spans="2:11" s="26" customFormat="1" ht="17.100000000000001" customHeight="1" thickBot="1">
      <c r="B13" s="2" t="s">
        <v>200</v>
      </c>
      <c r="C13" s="77"/>
      <c r="D13" s="38"/>
      <c r="E13" s="41"/>
      <c r="F13" s="77"/>
      <c r="G13" s="82">
        <v>2</v>
      </c>
      <c r="H13" s="87" t="s">
        <v>201</v>
      </c>
      <c r="I13" s="87"/>
      <c r="J13" s="87"/>
      <c r="K13" s="87"/>
    </row>
    <row r="14" spans="2:11" s="26" customFormat="1" ht="17.100000000000001" customHeight="1">
      <c r="B14" s="42" t="s">
        <v>18</v>
      </c>
      <c r="C14" s="43" t="s">
        <v>202</v>
      </c>
      <c r="D14" s="38"/>
      <c r="E14" s="41"/>
      <c r="F14" s="77"/>
      <c r="G14" s="82"/>
      <c r="H14" s="87"/>
      <c r="I14" s="87"/>
      <c r="J14" s="87"/>
      <c r="K14" s="87"/>
    </row>
    <row r="15" spans="2:11" s="26" customFormat="1" ht="17.100000000000001" customHeight="1">
      <c r="B15" s="44">
        <v>2018</v>
      </c>
      <c r="C15" s="45">
        <f>45000000</f>
        <v>45000000</v>
      </c>
      <c r="D15" s="38"/>
      <c r="E15" s="41"/>
      <c r="F15" s="77"/>
      <c r="G15" s="82"/>
      <c r="H15" s="87"/>
      <c r="I15" s="87"/>
      <c r="J15" s="87"/>
      <c r="K15" s="87"/>
    </row>
    <row r="16" spans="2:11" s="26" customFormat="1" ht="17.100000000000001" customHeight="1">
      <c r="B16" s="44">
        <f>B15+1</f>
        <v>2019</v>
      </c>
      <c r="C16" s="45">
        <v>49000000</v>
      </c>
      <c r="D16" s="38"/>
      <c r="E16" s="41"/>
      <c r="F16" s="77"/>
      <c r="G16" s="82"/>
      <c r="H16" s="87"/>
      <c r="I16" s="87"/>
      <c r="J16" s="87"/>
      <c r="K16" s="87"/>
    </row>
    <row r="17" spans="2:12" s="26" customFormat="1" ht="17.100000000000001" customHeight="1">
      <c r="B17" s="44">
        <f t="shared" ref="B17:B20" si="3">B16+1</f>
        <v>2020</v>
      </c>
      <c r="C17" s="45">
        <v>41750000</v>
      </c>
      <c r="D17" s="38"/>
      <c r="E17" s="41"/>
      <c r="F17" s="77"/>
      <c r="G17" s="112" t="s">
        <v>18</v>
      </c>
      <c r="H17" s="112" t="s">
        <v>203</v>
      </c>
      <c r="I17" s="112" t="s">
        <v>204</v>
      </c>
      <c r="J17" s="112" t="s">
        <v>205</v>
      </c>
      <c r="K17" s="77"/>
      <c r="L17" s="77"/>
    </row>
    <row r="18" spans="2:12" s="26" customFormat="1" ht="17.100000000000001" customHeight="1">
      <c r="B18" s="44">
        <f t="shared" si="3"/>
        <v>2021</v>
      </c>
      <c r="C18" s="45">
        <v>41500000</v>
      </c>
      <c r="D18" s="38"/>
      <c r="E18" s="41"/>
      <c r="F18" s="77"/>
      <c r="G18" s="113">
        <v>2018</v>
      </c>
      <c r="H18" s="115">
        <f>SUMIFS('Claims Data'!$Q$2:$Q$101,'Claims Data'!$C$2:$C$101,"Environmental Pollution",'Claims Data'!$S$2:$S$101,G18,'Claims Data'!$R$2:$R$101,1)</f>
        <v>0</v>
      </c>
      <c r="I18" s="113">
        <f>I5</f>
        <v>0</v>
      </c>
      <c r="J18" s="115" t="str">
        <f>IFERROR(H18/I18,"-")</f>
        <v>-</v>
      </c>
      <c r="K18" s="77"/>
      <c r="L18" s="77"/>
    </row>
    <row r="19" spans="2:12" s="26" customFormat="1" ht="17.100000000000001" customHeight="1">
      <c r="B19" s="44">
        <f t="shared" si="3"/>
        <v>2022</v>
      </c>
      <c r="C19" s="45">
        <v>43590000</v>
      </c>
      <c r="D19" s="38"/>
      <c r="E19" s="41"/>
      <c r="F19" s="77"/>
      <c r="G19" s="113">
        <v>2019</v>
      </c>
      <c r="H19" s="115">
        <f>SUMIFS('Claims Data'!$Q$2:$Q$101,'Claims Data'!$C$2:$C$101,"Environmental Pollution",'Claims Data'!$S$2:$S$101,G19,'Claims Data'!$R$2:$R$101,1)</f>
        <v>3215152.3493829388</v>
      </c>
      <c r="I19" s="113">
        <f>I6</f>
        <v>5</v>
      </c>
      <c r="J19" s="115">
        <f>IFERROR(H19/I19,"-")</f>
        <v>643030.46987658774</v>
      </c>
      <c r="K19" s="77"/>
      <c r="L19" s="77"/>
    </row>
    <row r="20" spans="2:12" s="26" customFormat="1" ht="17.100000000000001" customHeight="1" thickBot="1">
      <c r="B20" s="46">
        <f t="shared" si="3"/>
        <v>2023</v>
      </c>
      <c r="C20" s="47">
        <v>44750000</v>
      </c>
      <c r="D20" s="38"/>
      <c r="E20" s="41"/>
      <c r="F20" s="77"/>
      <c r="G20" s="113">
        <v>2020</v>
      </c>
      <c r="H20" s="115">
        <f>SUMIFS('Claims Data'!$Q$2:$Q$101,'Claims Data'!$C$2:$C$101,"Environmental Pollution",'Claims Data'!$S$2:$S$101,G20,'Claims Data'!$R$2:$R$101,1)</f>
        <v>3693140.9137192685</v>
      </c>
      <c r="I20" s="113">
        <f>I7</f>
        <v>6</v>
      </c>
      <c r="J20" s="115">
        <f>IFERROR(H20/I20,"-")</f>
        <v>615523.48561987805</v>
      </c>
      <c r="K20" s="77"/>
      <c r="L20" s="77"/>
    </row>
    <row r="21" spans="2:12" s="26" customFormat="1" ht="17.100000000000001" customHeight="1" thickBot="1">
      <c r="B21" s="17"/>
      <c r="C21" s="48"/>
      <c r="D21" s="38"/>
      <c r="E21" s="41"/>
      <c r="F21" s="77"/>
      <c r="G21" s="113">
        <v>2021</v>
      </c>
      <c r="H21" s="115">
        <f>SUMIFS('Claims Data'!$Q$2:$Q$101,'Claims Data'!$C$2:$C$101,"Environmental Pollution",'Claims Data'!$S$2:$S$101,G21,'Claims Data'!$R$2:$R$101,1)</f>
        <v>3537852.8211535201</v>
      </c>
      <c r="I21" s="113">
        <f>I8</f>
        <v>6</v>
      </c>
      <c r="J21" s="115">
        <f>IFERROR(H21/I21,"-")</f>
        <v>589642.13685891998</v>
      </c>
      <c r="K21" s="77"/>
      <c r="L21" s="77"/>
    </row>
    <row r="22" spans="2:12" s="26" customFormat="1" ht="17.100000000000001" customHeight="1" thickBot="1">
      <c r="B22" s="49" t="s">
        <v>206</v>
      </c>
      <c r="C22" s="50">
        <v>40000000</v>
      </c>
      <c r="D22" s="38"/>
      <c r="E22" s="41"/>
      <c r="F22" s="77"/>
      <c r="G22" s="114">
        <v>2022</v>
      </c>
      <c r="H22" s="116">
        <f>SUMIFS('Claims Data'!$Q$2:$Q$101,'Claims Data'!$C$2:$C$101,"Environmental Pollution",'Claims Data'!$S$2:$S$101,G22,'Claims Data'!$R$2:$R$101,1)</f>
        <v>3162389.3805379998</v>
      </c>
      <c r="I22" s="114">
        <f>I9</f>
        <v>4</v>
      </c>
      <c r="J22" s="116">
        <f>IFERROR(H22/I22,"-")</f>
        <v>790597.34513449995</v>
      </c>
      <c r="K22" s="77"/>
      <c r="L22" s="77"/>
    </row>
    <row r="23" spans="2:12" s="26" customFormat="1" ht="17.100000000000001" customHeight="1">
      <c r="B23" s="55"/>
      <c r="C23" s="38"/>
      <c r="D23" s="38"/>
      <c r="E23" s="41"/>
      <c r="F23" s="77"/>
      <c r="G23" s="114">
        <v>2023</v>
      </c>
      <c r="H23" s="116">
        <f>SUMIFS('Claims Data'!$Q$2:$Q$101,'Claims Data'!$C$2:$C$101,"Environmental Pollution",'Claims Data'!$S$2:$S$101,G23,'Claims Data'!$R$2:$R$101,1)</f>
        <v>0</v>
      </c>
      <c r="I23" s="114">
        <f>I10</f>
        <v>0</v>
      </c>
      <c r="J23" s="116" t="str">
        <f>IFERROR(H23/I23,"-")</f>
        <v>-</v>
      </c>
      <c r="K23" s="77"/>
      <c r="L23" s="77"/>
    </row>
    <row r="24" spans="2:12" s="26" customFormat="1" ht="17.100000000000001" customHeight="1">
      <c r="B24" s="19"/>
      <c r="C24" s="36" t="s">
        <v>158</v>
      </c>
      <c r="D24" s="19"/>
      <c r="E24" s="41"/>
      <c r="F24" s="77"/>
      <c r="G24" s="112" t="s">
        <v>198</v>
      </c>
      <c r="H24" s="117">
        <f>SUM(H18:H23)</f>
        <v>13608535.464793727</v>
      </c>
      <c r="I24" s="118">
        <f>SUM(I18:I23)</f>
        <v>21</v>
      </c>
      <c r="J24" s="117">
        <f>H24/I24</f>
        <v>648025.49832351075</v>
      </c>
      <c r="K24" s="77"/>
      <c r="L24" s="77"/>
    </row>
    <row r="25" spans="2:12" s="26" customFormat="1" ht="17.100000000000001" customHeight="1">
      <c r="B25" s="19">
        <v>1</v>
      </c>
      <c r="C25" s="19" t="s">
        <v>160</v>
      </c>
      <c r="D25" s="19"/>
      <c r="E25" s="41"/>
      <c r="F25" s="77"/>
      <c r="G25" s="5"/>
      <c r="H25" s="77"/>
      <c r="I25" s="77"/>
      <c r="J25" s="77"/>
      <c r="K25" s="77"/>
      <c r="L25" s="77"/>
    </row>
    <row r="26" spans="2:12" s="26" customFormat="1" ht="17.100000000000001" customHeight="1">
      <c r="B26" s="19">
        <v>2</v>
      </c>
      <c r="C26" s="19" t="s">
        <v>161</v>
      </c>
      <c r="D26" s="19"/>
      <c r="E26" s="41"/>
      <c r="F26" s="77"/>
      <c r="G26" s="5"/>
      <c r="H26" s="77"/>
      <c r="I26" s="77"/>
      <c r="J26" s="77"/>
      <c r="K26" s="77"/>
      <c r="L26" s="77"/>
    </row>
    <row r="27" spans="2:12" s="26" customFormat="1" ht="17.100000000000001" customHeight="1">
      <c r="B27" s="19">
        <v>3</v>
      </c>
      <c r="C27" s="19" t="s">
        <v>207</v>
      </c>
      <c r="D27" s="19"/>
      <c r="E27" s="41"/>
      <c r="F27" s="77"/>
      <c r="G27" s="17" t="s">
        <v>208</v>
      </c>
      <c r="H27" s="77"/>
      <c r="I27" s="77"/>
      <c r="J27" s="77"/>
      <c r="K27" s="77"/>
      <c r="L27" s="77"/>
    </row>
    <row r="28" spans="2:12" s="26" customFormat="1" ht="17.100000000000001" customHeight="1">
      <c r="B28" s="19">
        <v>4</v>
      </c>
      <c r="C28" s="19" t="s">
        <v>162</v>
      </c>
      <c r="D28" s="19"/>
      <c r="E28" s="41"/>
      <c r="F28" s="77"/>
      <c r="G28" s="82">
        <v>3</v>
      </c>
      <c r="H28" s="80" t="s">
        <v>209</v>
      </c>
      <c r="I28" s="80"/>
      <c r="J28" s="80"/>
      <c r="K28" s="80"/>
      <c r="L28" s="77"/>
    </row>
    <row r="29" spans="2:12" s="26" customFormat="1" ht="17.100000000000001" customHeight="1" thickBot="1">
      <c r="B29" s="19">
        <v>5</v>
      </c>
      <c r="C29" s="19" t="s">
        <v>210</v>
      </c>
      <c r="D29" s="19"/>
      <c r="E29" s="41"/>
      <c r="F29" s="77"/>
      <c r="G29" s="86"/>
      <c r="H29" s="80"/>
      <c r="I29" s="80"/>
      <c r="J29" s="80"/>
      <c r="K29" s="80"/>
      <c r="L29" s="77"/>
    </row>
    <row r="30" spans="2:12" s="26" customFormat="1" ht="17.100000000000001" customHeight="1">
      <c r="B30" s="19">
        <v>6</v>
      </c>
      <c r="C30" s="19" t="s">
        <v>211</v>
      </c>
      <c r="D30" s="19"/>
      <c r="E30" s="41"/>
      <c r="F30" s="77"/>
      <c r="G30" s="42" t="s">
        <v>212</v>
      </c>
      <c r="H30" s="57" t="s">
        <v>213</v>
      </c>
      <c r="I30" s="57" t="s">
        <v>191</v>
      </c>
      <c r="J30" s="76" t="s">
        <v>214</v>
      </c>
      <c r="K30" s="77"/>
      <c r="L30" s="77"/>
    </row>
    <row r="31" spans="2:12" s="26" customFormat="1" ht="17.100000000000001" customHeight="1">
      <c r="B31" s="19">
        <v>7</v>
      </c>
      <c r="C31" s="19" t="s">
        <v>215</v>
      </c>
      <c r="D31" s="19"/>
      <c r="E31" s="41"/>
      <c r="F31" s="77"/>
      <c r="G31" s="52">
        <v>2018</v>
      </c>
      <c r="H31" s="119" t="str">
        <f>J18</f>
        <v>-</v>
      </c>
      <c r="I31" s="120">
        <f>J5</f>
        <v>0</v>
      </c>
      <c r="J31" s="121">
        <f>IFERROR(H31*I31,0)</f>
        <v>0</v>
      </c>
      <c r="K31" s="77"/>
      <c r="L31" s="77"/>
    </row>
    <row r="32" spans="2:12" s="26" customFormat="1" ht="17.100000000000001" customHeight="1">
      <c r="B32" s="19">
        <v>8</v>
      </c>
      <c r="C32" s="19" t="s">
        <v>216</v>
      </c>
      <c r="D32" s="19"/>
      <c r="E32" s="41"/>
      <c r="F32" s="77"/>
      <c r="G32" s="52">
        <v>2019</v>
      </c>
      <c r="H32" s="119">
        <f>J19</f>
        <v>643030.46987658774</v>
      </c>
      <c r="I32" s="120">
        <f>J6</f>
        <v>1.0204081632653061E-7</v>
      </c>
      <c r="J32" s="121">
        <f>IFERROR(H32*I32,0)</f>
        <v>6.5615354069039566E-2</v>
      </c>
      <c r="K32" s="77"/>
      <c r="L32" s="77"/>
    </row>
    <row r="33" spans="1:12" s="26" customFormat="1" ht="17.100000000000001" customHeight="1">
      <c r="A33" s="77"/>
      <c r="B33" s="55"/>
      <c r="C33" s="38"/>
      <c r="D33" s="38"/>
      <c r="E33" s="41"/>
      <c r="F33" s="77"/>
      <c r="G33" s="52">
        <v>2020</v>
      </c>
      <c r="H33" s="119">
        <f>J20</f>
        <v>615523.48561987805</v>
      </c>
      <c r="I33" s="120">
        <f>J7</f>
        <v>1.437125748502994E-7</v>
      </c>
      <c r="J33" s="121">
        <f>IFERROR(H33*I33,0)</f>
        <v>8.8458464999263908E-2</v>
      </c>
      <c r="K33" s="77"/>
      <c r="L33" s="77"/>
    </row>
    <row r="34" spans="1:12" ht="15.75">
      <c r="A34" s="77"/>
      <c r="B34" s="77"/>
      <c r="C34" s="77"/>
      <c r="D34" s="77"/>
      <c r="E34" s="77"/>
      <c r="F34" s="77"/>
      <c r="G34" s="52">
        <v>2021</v>
      </c>
      <c r="H34" s="119">
        <f>J21</f>
        <v>589642.13685891998</v>
      </c>
      <c r="I34" s="120">
        <f>J8</f>
        <v>1.4457831325301206E-7</v>
      </c>
      <c r="J34" s="121">
        <f>IFERROR(H34*I34,0)</f>
        <v>8.5249465569964336E-2</v>
      </c>
      <c r="K34" s="77"/>
      <c r="L34" s="77"/>
    </row>
    <row r="35" spans="1:12" ht="15" customHeight="1">
      <c r="A35" s="77"/>
      <c r="B35" s="77"/>
      <c r="C35" s="8"/>
      <c r="D35" s="77"/>
      <c r="E35" s="11"/>
      <c r="F35" s="77"/>
      <c r="G35" s="52">
        <v>2022</v>
      </c>
      <c r="H35" s="119">
        <f>J22</f>
        <v>790597.34513449995</v>
      </c>
      <c r="I35" s="120">
        <f>J9</f>
        <v>9.1764166093140623E-8</v>
      </c>
      <c r="J35" s="121">
        <f>IFERROR(H35*I35,0)</f>
        <v>7.2548506091718271E-2</v>
      </c>
      <c r="K35" s="77"/>
      <c r="L35" s="77"/>
    </row>
    <row r="36" spans="1:12" ht="15.75">
      <c r="A36" s="77"/>
      <c r="B36" s="77"/>
      <c r="C36" s="77"/>
      <c r="D36" s="77"/>
      <c r="E36" s="11"/>
      <c r="F36" s="77"/>
      <c r="G36" s="53">
        <v>2023</v>
      </c>
      <c r="H36" s="122" t="str">
        <f>J23</f>
        <v>-</v>
      </c>
      <c r="I36" s="123">
        <f>J10</f>
        <v>0</v>
      </c>
      <c r="J36" s="124">
        <f>IFERROR(H36*I36,0)</f>
        <v>0</v>
      </c>
      <c r="K36" s="77"/>
      <c r="L36" s="77"/>
    </row>
    <row r="37" spans="1:12">
      <c r="A37" s="20">
        <v>5</v>
      </c>
      <c r="B37" s="81" t="s">
        <v>217</v>
      </c>
      <c r="C37" s="81"/>
      <c r="D37" s="81"/>
      <c r="E37" s="81"/>
      <c r="F37" s="77"/>
      <c r="H37" s="13"/>
      <c r="I37" s="14"/>
      <c r="J37" s="6"/>
      <c r="K37" s="77"/>
      <c r="L37" s="77"/>
    </row>
    <row r="38" spans="1:12">
      <c r="A38" s="77"/>
      <c r="B38" s="2" t="s">
        <v>218</v>
      </c>
      <c r="C38" s="77"/>
      <c r="D38" s="77"/>
      <c r="E38" s="77"/>
      <c r="F38" s="77"/>
      <c r="G38" s="25">
        <v>4</v>
      </c>
      <c r="H38" s="81" t="s">
        <v>219</v>
      </c>
      <c r="I38" s="81"/>
      <c r="J38" s="81"/>
      <c r="K38" s="81"/>
      <c r="L38" s="77"/>
    </row>
    <row r="39" spans="1:12" ht="15.75">
      <c r="A39" s="77"/>
      <c r="B39" s="127">
        <f>SUMIFS('Claims Data'!Q2:Q101,'Claims Data'!R2:R101,0,'Claims Data'!C2:C101,"Environmental Pollution")</f>
        <v>5253947.4237740003</v>
      </c>
      <c r="C39" s="77"/>
      <c r="D39" s="77"/>
      <c r="E39" s="77"/>
      <c r="F39" s="77"/>
      <c r="H39" s="59"/>
      <c r="I39" s="59"/>
      <c r="J39" s="59"/>
      <c r="K39" s="59"/>
      <c r="L39" s="77"/>
    </row>
    <row r="40" spans="1:12">
      <c r="A40" s="77"/>
      <c r="B40" s="8"/>
      <c r="C40" s="8"/>
      <c r="D40" s="77"/>
      <c r="E40" s="77"/>
      <c r="F40" s="77"/>
      <c r="G40" s="58"/>
      <c r="H40" s="59"/>
      <c r="I40" s="59"/>
      <c r="J40" s="59"/>
      <c r="K40" s="59"/>
      <c r="L40" s="77"/>
    </row>
    <row r="41" spans="1:12" ht="15.75">
      <c r="A41" s="20">
        <v>6</v>
      </c>
      <c r="B41" s="81" t="s">
        <v>220</v>
      </c>
      <c r="C41" s="81"/>
      <c r="D41" s="81"/>
      <c r="E41" s="81"/>
      <c r="F41" s="77"/>
      <c r="G41" s="17" t="s">
        <v>221</v>
      </c>
      <c r="H41" s="125">
        <f>J11</f>
        <v>8.0349311753830448E-8</v>
      </c>
      <c r="I41" s="5"/>
      <c r="J41" s="12"/>
      <c r="K41" s="77"/>
      <c r="L41" s="77"/>
    </row>
    <row r="42" spans="1:12" ht="15.75">
      <c r="A42" s="77"/>
      <c r="B42" s="2" t="s">
        <v>222</v>
      </c>
      <c r="C42" s="77"/>
      <c r="D42" s="77"/>
      <c r="E42" s="77"/>
      <c r="F42" s="77"/>
      <c r="G42" s="17" t="s">
        <v>223</v>
      </c>
      <c r="H42" s="126">
        <f>J24</f>
        <v>648025.49832351075</v>
      </c>
      <c r="I42" s="5"/>
      <c r="J42" s="6"/>
      <c r="K42" s="10"/>
      <c r="L42" s="77"/>
    </row>
    <row r="43" spans="1:12" ht="15.75">
      <c r="A43" s="77"/>
      <c r="B43" s="114">
        <v>20</v>
      </c>
      <c r="C43" s="77"/>
      <c r="D43" s="77"/>
      <c r="E43" s="77"/>
      <c r="F43" s="77"/>
      <c r="H43" s="5"/>
      <c r="I43" s="5"/>
      <c r="J43" s="6"/>
      <c r="K43" s="77"/>
      <c r="L43" s="77"/>
    </row>
    <row r="44" spans="1:12">
      <c r="A44" s="77"/>
      <c r="B44" s="77"/>
      <c r="C44" s="77"/>
      <c r="D44" s="77"/>
      <c r="E44" s="77"/>
      <c r="F44" s="77"/>
      <c r="G44" s="17" t="s">
        <v>224</v>
      </c>
      <c r="H44" s="15">
        <v>40000000</v>
      </c>
      <c r="I44" s="5"/>
      <c r="J44" s="16"/>
      <c r="K44" s="77"/>
      <c r="L44" s="77"/>
    </row>
    <row r="45" spans="1:12">
      <c r="A45" s="20">
        <v>7</v>
      </c>
      <c r="B45" s="81" t="s">
        <v>225</v>
      </c>
      <c r="C45" s="81"/>
      <c r="D45" s="81"/>
      <c r="E45" s="81"/>
      <c r="F45" s="77"/>
      <c r="G45" s="17"/>
      <c r="H45" s="15"/>
      <c r="I45" s="5"/>
      <c r="J45" s="16"/>
      <c r="K45" s="77"/>
      <c r="L45" s="77"/>
    </row>
    <row r="46" spans="1:12" ht="24.6" customHeight="1">
      <c r="A46" s="77"/>
      <c r="B46" s="2" t="s">
        <v>226</v>
      </c>
      <c r="C46" s="77"/>
      <c r="D46" s="77"/>
      <c r="E46" s="77"/>
      <c r="F46" s="77"/>
      <c r="G46" s="17"/>
      <c r="H46" s="15"/>
      <c r="I46" s="5"/>
      <c r="J46" s="16"/>
      <c r="K46" s="77"/>
      <c r="L46" s="77"/>
    </row>
    <row r="47" spans="1:12" ht="15" customHeight="1">
      <c r="A47" s="77"/>
      <c r="B47" s="128">
        <f>B39/B43</f>
        <v>262697.37118870002</v>
      </c>
      <c r="C47" s="77"/>
      <c r="D47" s="77"/>
      <c r="E47" s="77"/>
      <c r="F47" s="77"/>
      <c r="G47" s="88">
        <v>8</v>
      </c>
      <c r="H47" s="89" t="s">
        <v>227</v>
      </c>
      <c r="I47" s="89"/>
      <c r="J47" s="89"/>
      <c r="K47" s="89"/>
      <c r="L47" s="77"/>
    </row>
    <row r="48" spans="1:12" ht="15" customHeight="1">
      <c r="A48" s="77"/>
      <c r="B48" s="77"/>
      <c r="C48" s="77"/>
      <c r="D48" s="77"/>
      <c r="E48" s="77"/>
      <c r="F48" s="77"/>
      <c r="G48" s="88"/>
      <c r="H48" s="89"/>
      <c r="I48" s="89"/>
      <c r="J48" s="89"/>
      <c r="K48" s="89"/>
      <c r="L48" s="77"/>
    </row>
    <row r="49" spans="7:14">
      <c r="G49" s="17" t="s">
        <v>228</v>
      </c>
      <c r="H49" s="77"/>
      <c r="I49" s="77"/>
      <c r="J49" s="77"/>
      <c r="K49" s="77"/>
      <c r="L49" s="77"/>
      <c r="M49" s="77"/>
      <c r="N49" s="77"/>
    </row>
    <row r="50" spans="7:14">
      <c r="G50" s="5" t="s">
        <v>229</v>
      </c>
      <c r="H50" s="77"/>
      <c r="I50" s="77"/>
      <c r="J50" s="77"/>
      <c r="K50" s="77"/>
      <c r="L50" s="77"/>
      <c r="M50" s="77"/>
      <c r="N50" s="5"/>
    </row>
    <row r="51" spans="7:14" ht="15.75">
      <c r="G51" s="129" t="s">
        <v>230</v>
      </c>
      <c r="H51" s="131">
        <f>H41*H42*H44</f>
        <v>2082736.1115690838</v>
      </c>
      <c r="I51" s="7"/>
      <c r="J51" s="77"/>
      <c r="K51" s="77"/>
      <c r="L51" s="77"/>
      <c r="M51" s="77"/>
      <c r="N51" s="5"/>
    </row>
    <row r="52" spans="7:14" ht="15.75">
      <c r="G52" s="130" t="s">
        <v>231</v>
      </c>
      <c r="H52" s="127">
        <f>H51+B47</f>
        <v>2345433.482757784</v>
      </c>
      <c r="I52" s="7"/>
      <c r="J52" s="77"/>
      <c r="K52" s="77"/>
      <c r="L52" s="77"/>
      <c r="M52" s="77"/>
      <c r="N52" s="5"/>
    </row>
    <row r="53" spans="7:14">
      <c r="G53" s="18"/>
      <c r="H53" s="77"/>
      <c r="I53" s="77"/>
      <c r="J53" s="77"/>
      <c r="K53" s="77"/>
      <c r="L53" s="77"/>
      <c r="M53" s="77"/>
      <c r="N53" s="5"/>
    </row>
    <row r="54" spans="7:14">
      <c r="G54" s="60">
        <v>9</v>
      </c>
      <c r="H54" s="81" t="s">
        <v>232</v>
      </c>
      <c r="I54" s="81"/>
      <c r="J54" s="81"/>
      <c r="K54" s="81"/>
      <c r="L54" s="77"/>
      <c r="M54" s="77"/>
      <c r="N54" s="5"/>
    </row>
    <row r="55" spans="7:14">
      <c r="G55" s="17" t="s">
        <v>233</v>
      </c>
      <c r="H55" s="77"/>
      <c r="I55" s="77"/>
      <c r="J55" s="77"/>
      <c r="K55" s="77"/>
      <c r="L55" s="77"/>
      <c r="M55" s="77"/>
      <c r="N55" s="5"/>
    </row>
    <row r="56" spans="7:14">
      <c r="G56" s="5" t="s">
        <v>234</v>
      </c>
      <c r="H56" s="6"/>
      <c r="I56" s="6"/>
      <c r="J56" s="77"/>
      <c r="K56" s="77"/>
      <c r="L56" s="77"/>
      <c r="M56" s="77"/>
      <c r="N56" s="5"/>
    </row>
    <row r="57" spans="7:14" ht="48" customHeight="1">
      <c r="G57" s="110" t="s">
        <v>235</v>
      </c>
      <c r="H57" s="132">
        <v>0.3</v>
      </c>
      <c r="I57" s="77"/>
      <c r="J57" s="77"/>
      <c r="K57" s="77"/>
      <c r="L57" s="77"/>
      <c r="M57" s="77"/>
      <c r="N57" s="77"/>
    </row>
    <row r="58" spans="7:14" ht="15.75">
      <c r="G58" s="130" t="s">
        <v>233</v>
      </c>
      <c r="H58" s="127">
        <f>H52*(1+H57)*(1+H59)</f>
        <v>3353969.8803436318</v>
      </c>
      <c r="I58" s="77"/>
      <c r="J58" s="77"/>
      <c r="K58" s="77"/>
      <c r="L58" s="77"/>
      <c r="M58" s="77"/>
      <c r="N58" s="77"/>
    </row>
    <row r="59" spans="7:14" ht="15.75">
      <c r="G59" s="110" t="s">
        <v>236</v>
      </c>
      <c r="H59" s="132">
        <v>0.1</v>
      </c>
      <c r="I59" s="77"/>
      <c r="J59" s="77"/>
      <c r="K59" s="77"/>
      <c r="L59" s="77"/>
      <c r="M59" s="77"/>
      <c r="N59" s="77"/>
    </row>
    <row r="60" spans="7:14">
      <c r="G60" s="79">
        <v>10</v>
      </c>
      <c r="H60" s="80" t="s">
        <v>237</v>
      </c>
      <c r="I60" s="80"/>
      <c r="J60" s="80"/>
      <c r="K60" s="80"/>
      <c r="L60" s="77"/>
      <c r="M60" s="77"/>
      <c r="N60" s="77"/>
    </row>
    <row r="61" spans="7:14" ht="15.95" customHeight="1">
      <c r="G61" s="79"/>
      <c r="H61" s="80"/>
      <c r="I61" s="80"/>
      <c r="J61" s="80"/>
      <c r="K61" s="80"/>
      <c r="L61" s="77"/>
      <c r="M61" s="77"/>
      <c r="N61" s="77"/>
    </row>
    <row r="62" spans="7:14">
      <c r="G62" s="79"/>
      <c r="H62" s="80"/>
      <c r="I62" s="80"/>
      <c r="J62" s="80"/>
      <c r="K62" s="80"/>
      <c r="L62" s="77"/>
      <c r="M62" s="77"/>
      <c r="N62" s="77"/>
    </row>
    <row r="63" spans="7:14">
      <c r="G63" s="17" t="s">
        <v>238</v>
      </c>
      <c r="H63" s="77" t="s">
        <v>239</v>
      </c>
      <c r="I63" s="77"/>
      <c r="J63" s="77"/>
      <c r="K63" s="77"/>
      <c r="L63" s="77"/>
      <c r="M63" s="77"/>
      <c r="N63" s="77"/>
    </row>
    <row r="64" spans="7:14" ht="15.75">
      <c r="G64" s="17" t="s">
        <v>240</v>
      </c>
      <c r="H64" s="128">
        <f>H42*1.06</f>
        <v>686907.02822292142</v>
      </c>
      <c r="I64" s="77"/>
      <c r="J64" s="77"/>
      <c r="K64" s="77"/>
      <c r="L64" s="77"/>
      <c r="M64" s="77"/>
      <c r="N64" s="77"/>
    </row>
    <row r="65" spans="7:9" ht="30.95" customHeight="1">
      <c r="G65" s="17" t="s">
        <v>221</v>
      </c>
      <c r="H65" s="133">
        <f>H41</f>
        <v>8.0349311753830448E-8</v>
      </c>
      <c r="I65" s="77"/>
    </row>
    <row r="66" spans="7:9" ht="15.75">
      <c r="G66" s="17" t="s">
        <v>241</v>
      </c>
      <c r="H66" s="128">
        <f>(H64*H65*H44+B47)*(1+H57)*(1+H59)</f>
        <v>3532668.638716259</v>
      </c>
      <c r="I66" s="77"/>
    </row>
    <row r="67" spans="7:9" ht="15.75">
      <c r="G67" s="17" t="s">
        <v>242</v>
      </c>
      <c r="H67" s="127">
        <f>H66</f>
        <v>3532668.638716259</v>
      </c>
      <c r="I67" s="7"/>
    </row>
    <row r="69" spans="7:9">
      <c r="G69" s="18"/>
      <c r="H69" s="77"/>
      <c r="I69" s="77"/>
    </row>
  </sheetData>
  <mergeCells count="15">
    <mergeCell ref="B37:E37"/>
    <mergeCell ref="B41:E41"/>
    <mergeCell ref="B45:E45"/>
    <mergeCell ref="G47:G48"/>
    <mergeCell ref="H47:K48"/>
    <mergeCell ref="G60:G62"/>
    <mergeCell ref="H60:K62"/>
    <mergeCell ref="H38:K38"/>
    <mergeCell ref="H54:K54"/>
    <mergeCell ref="G2:G3"/>
    <mergeCell ref="H2:K3"/>
    <mergeCell ref="G28:G29"/>
    <mergeCell ref="H28:K29"/>
    <mergeCell ref="G13:G16"/>
    <mergeCell ref="H13:K16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2148-7506-B546-ADF2-E1F7BB8B2568}">
  <dimension ref="A1:H68"/>
  <sheetViews>
    <sheetView tabSelected="1" zoomScaleNormal="100" workbookViewId="0">
      <selection sqref="A1:XFD1048576"/>
    </sheetView>
  </sheetViews>
  <sheetFormatPr defaultColWidth="10.875" defaultRowHeight="15.95"/>
  <cols>
    <col min="1" max="2" width="3.375" style="90" customWidth="1"/>
    <col min="3" max="3" width="43.375" style="90" customWidth="1"/>
    <col min="4" max="4" width="23.375" style="90" customWidth="1"/>
    <col min="5" max="5" width="41.625" style="90" customWidth="1"/>
    <col min="6" max="7" width="16.625" style="90" customWidth="1"/>
    <col min="8" max="16384" width="10.875" style="90"/>
  </cols>
  <sheetData>
    <row r="1" spans="1:8" ht="15.75">
      <c r="A1" s="163"/>
      <c r="B1" s="164"/>
      <c r="C1" s="164"/>
      <c r="D1" s="164"/>
      <c r="E1" s="164"/>
      <c r="F1" s="164"/>
      <c r="G1" s="164"/>
      <c r="H1" s="164"/>
    </row>
    <row r="2" spans="1:8" ht="15.75">
      <c r="A2" s="165"/>
      <c r="B2" s="164"/>
      <c r="C2" s="164"/>
      <c r="D2" s="164"/>
      <c r="E2" s="164"/>
      <c r="F2" s="164"/>
      <c r="G2" s="164"/>
      <c r="H2" s="164"/>
    </row>
    <row r="3" spans="1:8" ht="15.75">
      <c r="A3" s="166"/>
      <c r="B3" s="164"/>
      <c r="C3" s="164"/>
      <c r="D3" s="164"/>
      <c r="E3" s="164"/>
      <c r="F3" s="164"/>
      <c r="G3" s="164"/>
      <c r="H3" s="164"/>
    </row>
    <row r="5" spans="1:8" ht="15.75">
      <c r="A5" s="167"/>
      <c r="B5" s="168"/>
      <c r="C5" s="168"/>
      <c r="D5" s="168"/>
      <c r="E5" s="168"/>
      <c r="F5" s="168"/>
      <c r="G5" s="168"/>
      <c r="H5" s="168"/>
    </row>
    <row r="6" spans="1:8" ht="15.75">
      <c r="A6" s="164"/>
      <c r="B6" s="164"/>
      <c r="C6" s="134"/>
      <c r="D6" s="134"/>
      <c r="E6" s="164"/>
      <c r="F6" s="164"/>
      <c r="G6" s="164"/>
      <c r="H6" s="164"/>
    </row>
    <row r="7" spans="1:8" ht="15.75">
      <c r="A7" s="164"/>
      <c r="B7" s="164"/>
      <c r="C7" s="169"/>
      <c r="D7" s="136"/>
      <c r="E7" s="164"/>
      <c r="F7" s="164"/>
      <c r="G7" s="164"/>
      <c r="H7" s="164"/>
    </row>
    <row r="8" spans="1:8" ht="15.75">
      <c r="A8" s="164"/>
      <c r="B8" s="164"/>
      <c r="C8" s="170"/>
      <c r="D8" s="138"/>
      <c r="E8" s="164"/>
      <c r="F8" s="164"/>
      <c r="G8" s="164"/>
      <c r="H8" s="164"/>
    </row>
    <row r="9" spans="1:8" ht="15.75">
      <c r="A9" s="164"/>
      <c r="B9" s="164"/>
      <c r="C9" s="169"/>
      <c r="D9" s="139"/>
      <c r="E9" s="164"/>
      <c r="F9" s="164"/>
      <c r="G9" s="164"/>
      <c r="H9" s="164"/>
    </row>
    <row r="10" spans="1:8" ht="15.75">
      <c r="A10" s="164"/>
      <c r="B10" s="164"/>
      <c r="C10" s="170"/>
      <c r="D10" s="138"/>
      <c r="E10" s="164"/>
      <c r="F10" s="164"/>
      <c r="G10" s="164"/>
      <c r="H10" s="164"/>
    </row>
    <row r="11" spans="1:8" ht="15.75">
      <c r="A11" s="164"/>
      <c r="B11" s="164"/>
      <c r="C11" s="169"/>
      <c r="D11" s="136"/>
      <c r="E11" s="164"/>
      <c r="F11" s="164"/>
      <c r="G11" s="164"/>
      <c r="H11" s="164"/>
    </row>
    <row r="12" spans="1:8" ht="15.75">
      <c r="A12" s="164"/>
      <c r="B12" s="164"/>
      <c r="C12" s="170"/>
      <c r="D12" s="137"/>
      <c r="E12" s="164"/>
      <c r="F12" s="164"/>
      <c r="G12" s="164"/>
      <c r="H12" s="164"/>
    </row>
    <row r="13" spans="1:8">
      <c r="A13" s="164"/>
      <c r="B13" s="164"/>
      <c r="C13" s="164"/>
      <c r="D13" s="164"/>
      <c r="E13" s="164"/>
      <c r="F13" s="164"/>
      <c r="G13" s="164"/>
      <c r="H13" s="164"/>
    </row>
    <row r="14" spans="1:8" ht="15.75">
      <c r="A14" s="167"/>
      <c r="B14" s="168"/>
      <c r="C14" s="168"/>
      <c r="D14" s="168"/>
      <c r="E14" s="168"/>
      <c r="F14" s="168"/>
      <c r="G14" s="168"/>
      <c r="H14" s="168"/>
    </row>
    <row r="15" spans="1:8" ht="15.75">
      <c r="A15" s="164"/>
      <c r="B15" s="164"/>
      <c r="C15" s="171"/>
      <c r="D15" s="147"/>
      <c r="E15" s="147"/>
      <c r="F15" s="147"/>
      <c r="G15" s="147"/>
      <c r="H15" s="164"/>
    </row>
    <row r="16" spans="1:8" ht="15.75">
      <c r="A16" s="164"/>
      <c r="B16" s="164"/>
      <c r="C16" s="172"/>
      <c r="D16" s="148"/>
      <c r="E16" s="149"/>
      <c r="F16" s="150"/>
      <c r="G16" s="149"/>
      <c r="H16" s="164"/>
    </row>
    <row r="17" spans="1:8" ht="15.75">
      <c r="A17" s="164"/>
      <c r="B17" s="164"/>
      <c r="C17" s="173"/>
      <c r="D17" s="151"/>
      <c r="E17" s="152"/>
      <c r="F17" s="153"/>
      <c r="G17" s="152"/>
      <c r="H17" s="164"/>
    </row>
    <row r="18" spans="1:8" ht="15.75">
      <c r="A18" s="164"/>
      <c r="B18" s="164"/>
      <c r="C18" s="172"/>
      <c r="D18" s="148"/>
      <c r="E18" s="149"/>
      <c r="F18" s="150"/>
      <c r="G18" s="149"/>
      <c r="H18" s="164"/>
    </row>
    <row r="19" spans="1:8" ht="15.75">
      <c r="A19" s="164"/>
      <c r="B19" s="164"/>
      <c r="C19" s="174"/>
      <c r="D19" s="154"/>
      <c r="E19" s="155"/>
      <c r="F19" s="156"/>
      <c r="G19" s="155"/>
      <c r="H19" s="164"/>
    </row>
    <row r="20" spans="1:8" ht="15.75">
      <c r="A20" s="164"/>
      <c r="B20" s="164"/>
      <c r="C20" s="175"/>
      <c r="D20" s="157"/>
      <c r="E20" s="158"/>
      <c r="F20" s="159"/>
      <c r="G20" s="158"/>
      <c r="H20" s="164"/>
    </row>
    <row r="21" spans="1:8" ht="15.75">
      <c r="A21" s="164"/>
      <c r="B21" s="164"/>
      <c r="C21" s="176"/>
      <c r="D21" s="160"/>
      <c r="E21" s="161"/>
      <c r="F21" s="162"/>
      <c r="G21" s="161"/>
      <c r="H21" s="164"/>
    </row>
    <row r="22" spans="1:8" ht="15.75">
      <c r="A22" s="164"/>
      <c r="B22" s="164"/>
      <c r="C22" s="164"/>
      <c r="D22" s="164"/>
      <c r="E22" s="164"/>
      <c r="F22" s="164"/>
      <c r="G22" s="164"/>
      <c r="H22" s="164"/>
    </row>
    <row r="23" spans="1:8" ht="15.75">
      <c r="A23" s="177"/>
      <c r="B23" s="164"/>
      <c r="C23" s="164"/>
      <c r="D23" s="164"/>
      <c r="E23" s="164"/>
      <c r="F23" s="164"/>
      <c r="G23" s="164"/>
      <c r="H23" s="164"/>
    </row>
    <row r="24" spans="1:8">
      <c r="A24" s="164"/>
      <c r="B24" s="164"/>
      <c r="C24" s="164"/>
      <c r="D24" s="164"/>
      <c r="E24" s="164"/>
      <c r="F24" s="164"/>
      <c r="G24" s="164"/>
      <c r="H24" s="164"/>
    </row>
    <row r="25" spans="1:8" ht="15.75">
      <c r="A25" s="167"/>
      <c r="B25" s="164"/>
      <c r="C25" s="164"/>
      <c r="D25" s="164"/>
      <c r="E25" s="164"/>
      <c r="F25" s="164"/>
      <c r="G25" s="164"/>
      <c r="H25" s="164"/>
    </row>
    <row r="26" spans="1:8" ht="15.75">
      <c r="A26" s="164"/>
      <c r="B26" s="164"/>
      <c r="C26" s="178"/>
      <c r="D26" s="164"/>
      <c r="E26" s="164"/>
      <c r="F26" s="164"/>
      <c r="G26" s="164"/>
      <c r="H26" s="164"/>
    </row>
    <row r="27" spans="1:8" ht="15.75">
      <c r="A27" s="164"/>
      <c r="B27" s="164"/>
      <c r="C27" s="179"/>
      <c r="D27" s="134"/>
      <c r="E27" s="179"/>
      <c r="F27" s="164"/>
      <c r="G27" s="164"/>
      <c r="H27" s="164"/>
    </row>
    <row r="28" spans="1:8" ht="15.75">
      <c r="A28" s="164"/>
      <c r="B28" s="164"/>
      <c r="C28" s="169"/>
      <c r="D28" s="136"/>
      <c r="E28" s="180"/>
      <c r="F28" s="164"/>
      <c r="G28" s="164"/>
      <c r="H28" s="164"/>
    </row>
    <row r="29" spans="1:8" ht="15.75">
      <c r="A29" s="164"/>
      <c r="B29" s="164"/>
      <c r="C29" s="170"/>
      <c r="D29" s="141"/>
      <c r="E29" s="181"/>
      <c r="F29" s="164"/>
      <c r="G29" s="164"/>
      <c r="H29" s="164"/>
    </row>
    <row r="30" spans="1:8" ht="15.75">
      <c r="A30" s="164"/>
      <c r="B30" s="164"/>
      <c r="C30" s="169"/>
      <c r="D30" s="139"/>
      <c r="E30" s="180"/>
      <c r="F30" s="164"/>
      <c r="G30" s="164"/>
      <c r="H30" s="164"/>
    </row>
    <row r="31" spans="1:8">
      <c r="A31" s="164"/>
      <c r="B31" s="164"/>
      <c r="C31" s="164"/>
      <c r="D31" s="164"/>
      <c r="E31" s="164"/>
      <c r="F31" s="164"/>
      <c r="G31" s="164"/>
      <c r="H31" s="164"/>
    </row>
    <row r="32" spans="1:8" ht="15.75">
      <c r="A32" s="164"/>
      <c r="B32" s="164"/>
      <c r="C32" s="178"/>
      <c r="D32" s="164"/>
      <c r="E32" s="164"/>
      <c r="F32" s="164"/>
      <c r="G32" s="164"/>
      <c r="H32" s="164"/>
    </row>
    <row r="33" spans="1:5" ht="15.75">
      <c r="A33" s="164"/>
      <c r="B33" s="164"/>
      <c r="C33" s="169"/>
      <c r="D33" s="139"/>
      <c r="E33" s="180"/>
    </row>
    <row r="34" spans="1:5" ht="15.75">
      <c r="A34" s="164"/>
      <c r="B34" s="164"/>
      <c r="C34" s="170"/>
      <c r="D34" s="140"/>
      <c r="E34" s="181"/>
    </row>
    <row r="35" spans="1:5" ht="15.75">
      <c r="A35" s="164"/>
      <c r="B35" s="164"/>
      <c r="C35" s="169"/>
      <c r="D35" s="139"/>
      <c r="E35" s="180"/>
    </row>
    <row r="36" spans="1:5">
      <c r="A36" s="164"/>
      <c r="B36" s="164"/>
      <c r="C36" s="164"/>
      <c r="D36" s="164"/>
      <c r="E36" s="164"/>
    </row>
    <row r="37" spans="1:5" ht="15.75">
      <c r="A37" s="164"/>
      <c r="B37" s="164"/>
      <c r="C37" s="178"/>
      <c r="D37" s="164"/>
      <c r="E37" s="164"/>
    </row>
    <row r="38" spans="1:5" ht="15.75">
      <c r="A38" s="164"/>
      <c r="B38" s="164"/>
      <c r="C38" s="169"/>
      <c r="D38" s="139"/>
      <c r="E38" s="180"/>
    </row>
    <row r="39" spans="1:5" ht="15.75">
      <c r="A39" s="164"/>
      <c r="B39" s="164"/>
      <c r="C39" s="170"/>
      <c r="D39" s="138"/>
      <c r="E39" s="181"/>
    </row>
    <row r="40" spans="1:5" ht="15.75">
      <c r="A40" s="164"/>
      <c r="B40" s="164"/>
      <c r="C40" s="169"/>
      <c r="D40" s="142"/>
      <c r="E40" s="164"/>
    </row>
    <row r="41" spans="1:5" ht="15.75">
      <c r="A41" s="164"/>
      <c r="B41" s="164"/>
      <c r="C41" s="170"/>
      <c r="D41" s="143"/>
      <c r="E41" s="164"/>
    </row>
    <row r="42" spans="1:5" ht="15.75">
      <c r="A42" s="164"/>
      <c r="B42" s="164"/>
      <c r="C42" s="182"/>
      <c r="D42" s="144"/>
      <c r="E42" s="183"/>
    </row>
    <row r="43" spans="1:5">
      <c r="A43" s="164"/>
      <c r="B43" s="164"/>
      <c r="C43" s="164"/>
      <c r="D43" s="164"/>
      <c r="E43" s="164"/>
    </row>
    <row r="44" spans="1:5" ht="15.75">
      <c r="A44" s="167"/>
      <c r="B44" s="164"/>
      <c r="C44" s="164"/>
      <c r="D44" s="164"/>
      <c r="E44" s="164"/>
    </row>
    <row r="45" spans="1:5" ht="15.75">
      <c r="A45" s="164"/>
      <c r="B45" s="164"/>
      <c r="C45" s="179"/>
      <c r="D45" s="134"/>
      <c r="E45" s="134"/>
    </row>
    <row r="46" spans="1:5" ht="15.75">
      <c r="A46" s="164"/>
      <c r="B46" s="164"/>
      <c r="C46" s="169"/>
      <c r="D46" s="139"/>
      <c r="E46" s="135"/>
    </row>
    <row r="47" spans="1:5" ht="15.75">
      <c r="A47" s="164"/>
      <c r="B47" s="164"/>
      <c r="C47" s="170"/>
      <c r="D47" s="138"/>
      <c r="E47" s="145"/>
    </row>
    <row r="48" spans="1:5" ht="15.75">
      <c r="A48" s="164"/>
      <c r="B48" s="164"/>
      <c r="C48" s="184"/>
      <c r="D48" s="146"/>
      <c r="E48" s="180"/>
    </row>
    <row r="49" spans="1:3">
      <c r="A49" s="164"/>
      <c r="B49" s="164"/>
      <c r="C49" s="164"/>
    </row>
    <row r="50" spans="1:3" ht="15.75">
      <c r="A50" s="167"/>
      <c r="B50" s="164"/>
      <c r="C50" s="164"/>
    </row>
    <row r="51" spans="1:3">
      <c r="A51" s="164"/>
      <c r="B51" s="164"/>
      <c r="C51" s="164"/>
    </row>
    <row r="52" spans="1:3" ht="15.75">
      <c r="A52" s="164"/>
      <c r="B52" s="185"/>
      <c r="C52" s="170"/>
    </row>
    <row r="53" spans="1:3">
      <c r="A53" s="164"/>
      <c r="B53" s="164"/>
      <c r="C53" s="164"/>
    </row>
    <row r="54" spans="1:3" ht="15.75">
      <c r="A54" s="164"/>
      <c r="B54" s="185"/>
      <c r="C54" s="170"/>
    </row>
    <row r="55" spans="1:3">
      <c r="A55" s="164"/>
      <c r="B55" s="164"/>
      <c r="C55" s="164"/>
    </row>
    <row r="56" spans="1:3" ht="15.75">
      <c r="A56" s="164"/>
      <c r="B56" s="185"/>
      <c r="C56" s="170"/>
    </row>
    <row r="57" spans="1:3">
      <c r="A57" s="164"/>
      <c r="B57" s="164"/>
      <c r="C57" s="164"/>
    </row>
    <row r="58" spans="1:3" ht="15.75">
      <c r="A58" s="164"/>
      <c r="B58" s="185"/>
      <c r="C58" s="170"/>
    </row>
    <row r="59" spans="1:3">
      <c r="A59" s="164"/>
      <c r="B59" s="164"/>
      <c r="C59" s="164"/>
    </row>
    <row r="60" spans="1:3">
      <c r="A60" s="164"/>
      <c r="B60" s="164"/>
      <c r="C60" s="164"/>
    </row>
    <row r="61" spans="1:3" ht="15.75">
      <c r="A61" s="167"/>
      <c r="B61" s="164"/>
      <c r="C61" s="164"/>
    </row>
    <row r="63" spans="1:3" ht="15.75">
      <c r="A63" s="164"/>
      <c r="B63" s="185"/>
      <c r="C63" s="170"/>
    </row>
    <row r="64" spans="1:3" ht="15.75">
      <c r="A64" s="164"/>
      <c r="B64" s="185"/>
      <c r="C64" s="170"/>
    </row>
    <row r="65" spans="2:3" ht="15.75">
      <c r="B65" s="185"/>
      <c r="C65" s="170"/>
    </row>
    <row r="66" spans="2:3" ht="15.75">
      <c r="B66" s="185"/>
      <c r="C66" s="170"/>
    </row>
    <row r="67" spans="2:3" ht="15.75">
      <c r="B67" s="185"/>
      <c r="C67" s="170"/>
    </row>
    <row r="68" spans="2:3" ht="15.75">
      <c r="B68" s="185"/>
      <c r="C68" s="170"/>
    </row>
  </sheetData>
  <mergeCells count="1">
    <mergeCell ref="A1:XFD1048576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Young, Aimee</dc:creator>
  <cp:keywords/>
  <dc:description/>
  <cp:lastModifiedBy/>
  <cp:revision/>
  <dcterms:created xsi:type="dcterms:W3CDTF">2024-09-03T17:44:11Z</dcterms:created>
  <dcterms:modified xsi:type="dcterms:W3CDTF">2026-03-01T02:14:02Z</dcterms:modified>
  <cp:category/>
  <cp:contentStatus/>
</cp:coreProperties>
</file>